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D11444D-F919-4126-858D-8D549483E107}" xr6:coauthVersionLast="47" xr6:coauthVersionMax="47" xr10:uidLastSave="{00000000-0000-0000-0000-000000000000}"/>
  <bookViews>
    <workbookView xWindow="-108" yWindow="-108" windowWidth="23256" windowHeight="12456" tabRatio="500" firstSheet="10" activeTab="14" xr2:uid="{00000000-000D-0000-FFFF-FFFF00000000}"/>
  </bookViews>
  <sheets>
    <sheet name="Huong_Dan" sheetId="1" r:id="rId1"/>
    <sheet name="Test_Plan" sheetId="2" r:id="rId2"/>
    <sheet name="Tong_Hop" sheetId="3" r:id="rId3"/>
    <sheet name="TC_DangKy" sheetId="4" r:id="rId4"/>
    <sheet name="TC_DangNhap" sheetId="5" r:id="rId5"/>
    <sheet name="TC_LocSapXep" sheetId="6" r:id="rId6"/>
    <sheet name="TC_ChiTiet" sheetId="7" r:id="rId7"/>
    <sheet name="TC_GioHang" sheetId="8" r:id="rId8"/>
    <sheet name="TC_Wishlist" sheetId="9" r:id="rId9"/>
    <sheet name="TC_MaGiamGia" sheetId="10" r:id="rId10"/>
    <sheet name="TC_Checkout" sheetId="11" r:id="rId11"/>
    <sheet name="TC_Admin" sheetId="12" r:id="rId12"/>
    <sheet name="TC_GiaoDien" sheetId="13" r:id="rId13"/>
    <sheet name="TC_API" sheetId="14" r:id="rId14"/>
    <sheet name="Bug_Report" sheetId="15" r:id="rId15"/>
  </sheets>
  <definedNames>
    <definedName name="_xlnm._FilterDatabase" localSheetId="14" hidden="1">Bug_Report!$A$1:$N$28</definedName>
    <definedName name="_xlnm._FilterDatabase" localSheetId="11" hidden="1">TC_Admin!$A$1:$K$11</definedName>
    <definedName name="_xlnm._FilterDatabase" localSheetId="13" hidden="1">TC_API!$A$1:$L$31</definedName>
    <definedName name="_xlnm._FilterDatabase" localSheetId="10" hidden="1">TC_Checkout!$A$1:$K$19</definedName>
    <definedName name="_xlnm._FilterDatabase" localSheetId="6" hidden="1">TC_ChiTiet!$A$1:$K$9</definedName>
    <definedName name="_xlnm._FilterDatabase" localSheetId="3" hidden="1">TC_DangKy!$A$1:$K$15</definedName>
    <definedName name="_xlnm._FilterDatabase" localSheetId="4" hidden="1">TC_DangNhap!$A$1:$K$13</definedName>
    <definedName name="_xlnm._FilterDatabase" localSheetId="12" hidden="1">TC_GiaoDien!$A$1:$K$12</definedName>
    <definedName name="_xlnm._FilterDatabase" localSheetId="7" hidden="1">TC_GioHang!$A$1:$K$13</definedName>
    <definedName name="_xlnm._FilterDatabase" localSheetId="5" hidden="1">TC_LocSapXep!$A$1:$K$16</definedName>
    <definedName name="_xlnm._FilterDatabase" localSheetId="9" hidden="1">TC_MaGiamGia!$A$1:$K$10</definedName>
    <definedName name="_xlnm._FilterDatabase" localSheetId="8" hidden="1">TC_Wishlist!$A$1:$K$7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2" i="3" l="1"/>
  <c r="D22" i="3"/>
  <c r="C22" i="3"/>
  <c r="B22" i="3"/>
  <c r="E21" i="3"/>
  <c r="D21" i="3"/>
  <c r="C21" i="3"/>
  <c r="B21" i="3"/>
  <c r="E20" i="3"/>
  <c r="D20" i="3"/>
  <c r="C20" i="3"/>
  <c r="B20" i="3"/>
  <c r="E19" i="3"/>
  <c r="E23" i="3" s="1"/>
  <c r="D19" i="3"/>
  <c r="D23" i="3" s="1"/>
  <c r="C19" i="3"/>
  <c r="C23" i="3" s="1"/>
  <c r="B19" i="3"/>
  <c r="B23" i="3" s="1"/>
  <c r="B15" i="3"/>
  <c r="F14" i="3"/>
  <c r="E14" i="3"/>
  <c r="D14" i="3"/>
  <c r="C14" i="3"/>
  <c r="B14" i="3"/>
  <c r="F13" i="3"/>
  <c r="E13" i="3"/>
  <c r="D13" i="3"/>
  <c r="C13" i="3"/>
  <c r="B13" i="3"/>
  <c r="F12" i="3"/>
  <c r="E12" i="3"/>
  <c r="D12" i="3"/>
  <c r="C12" i="3"/>
  <c r="B12" i="3"/>
  <c r="F11" i="3"/>
  <c r="E11" i="3"/>
  <c r="G11" i="3" s="1"/>
  <c r="D11" i="3"/>
  <c r="C11" i="3"/>
  <c r="B11" i="3"/>
  <c r="H11" i="3" s="1"/>
  <c r="F10" i="3"/>
  <c r="E10" i="3"/>
  <c r="D10" i="3"/>
  <c r="C10" i="3"/>
  <c r="B10" i="3"/>
  <c r="F9" i="3"/>
  <c r="E9" i="3"/>
  <c r="D9" i="3"/>
  <c r="C9" i="3"/>
  <c r="B9" i="3"/>
  <c r="F8" i="3"/>
  <c r="E8" i="3"/>
  <c r="D8" i="3"/>
  <c r="C8" i="3"/>
  <c r="B8" i="3"/>
  <c r="F7" i="3"/>
  <c r="E7" i="3"/>
  <c r="D7" i="3"/>
  <c r="C7" i="3"/>
  <c r="B7" i="3"/>
  <c r="F6" i="3"/>
  <c r="E6" i="3"/>
  <c r="D6" i="3"/>
  <c r="C6" i="3"/>
  <c r="B6" i="3"/>
  <c r="F5" i="3"/>
  <c r="E5" i="3"/>
  <c r="D5" i="3"/>
  <c r="C5" i="3"/>
  <c r="B5" i="3"/>
  <c r="F4" i="3"/>
  <c r="F15" i="3" s="1"/>
  <c r="E4" i="3"/>
  <c r="E15" i="3" s="1"/>
  <c r="D4" i="3"/>
  <c r="D15" i="3" s="1"/>
  <c r="C4" i="3"/>
  <c r="B4" i="3"/>
  <c r="H14" i="3" l="1"/>
  <c r="G14" i="3"/>
  <c r="H13" i="3"/>
  <c r="G13" i="3"/>
  <c r="H12" i="3"/>
  <c r="G12" i="3"/>
  <c r="H10" i="3"/>
  <c r="G10" i="3"/>
  <c r="H9" i="3"/>
  <c r="G9" i="3"/>
  <c r="H8" i="3"/>
  <c r="G8" i="3"/>
  <c r="H7" i="3"/>
  <c r="G7" i="3"/>
  <c r="H6" i="3"/>
  <c r="G6" i="3"/>
  <c r="H5" i="3"/>
  <c r="G5" i="3"/>
  <c r="C15" i="3"/>
  <c r="H4" i="3"/>
  <c r="G4" i="3"/>
  <c r="G15" i="3" l="1"/>
  <c r="H15" i="3"/>
</calcChain>
</file>

<file path=xl/sharedStrings.xml><?xml version="1.0" encoding="utf-8"?>
<sst xmlns="http://schemas.openxmlformats.org/spreadsheetml/2006/main" count="2030" uniqueCount="1087">
  <si>
    <t>BỘ TEST CASE – WEBSITE SPORTS-K</t>
  </si>
  <si>
    <t>Kiểm thử và đánh giá chất lượng website thương mại điện tử đồ thể thao Sports-K (React + JSON Server) bằng Selenium, Postman và SonarQube</t>
  </si>
  <si>
    <t>Cách dùng</t>
  </si>
  <si>
    <t>Mỗi sheet TC_* là một module. Chạy từng test case, điền 'Kết quả thực tế' và chọn 'Trạng thái'. Nếu Fail: ghi Bug ID vào cột cuối và tạo dòng mới ở sheet Bug_Report. Sheet Tong_Hop tự tính số liệu.</t>
  </si>
  <si>
    <t>Ô cần điền (màu vàng)</t>
  </si>
  <si>
    <t>Các cột 'Kết quả thực tế', 'Trạng thái', 'Ghi chú / Bug ID' (và 'Bằng chứng' ở Bug_Report). Các ô khác đã được điền sẵn.</t>
  </si>
  <si>
    <t>Trạng thái</t>
  </si>
  <si>
    <t>Not Run (chưa chạy) · Pass · Fail · Blocked (bị chặn, không chạy được). Mặc định là Not Run.</t>
  </si>
  <si>
    <t>Mức độ nếu lỗi</t>
  </si>
  <si>
    <t>Mức độ dự kiến nếu test case Fail: Critical / Major / Minor / Trivial (định nghĩa ở sheet Test_Plan). Có thể sửa sau khi xác nhận lỗi.</t>
  </si>
  <si>
    <t>Cột Công cụ</t>
  </si>
  <si>
    <t>Selenium = nên tự động hóa; Manual = test thủ công (hoặc có bên thứ ba như Razorpay); Postman = chạy trong Postman collection.</t>
  </si>
  <si>
    <t>Sheet Bug_Report</t>
  </si>
  <si>
    <t>Đã điền sẵn các lỗi NGHI VẤN do đọc mã nguồn (Trạng thái = 'Nghi vấn - cần xác minh'). Chỉ chuyển thành 'Đã xác nhận' sau khi tái hiện được; nếu không tái hiện được thì đổi thành 'Không phải lỗi'.</t>
  </si>
  <si>
    <t>Cột 'Ghi chú / Bug ID'</t>
  </si>
  <si>
    <t>Với test case có liên quan tới lỗi nghi vấn, cột này đã gợi ý sẵn BUG-xx.</t>
  </si>
  <si>
    <t>Lưu ý trước khi test</t>
  </si>
  <si>
    <t>1) Sao chép mock-server/db.json thành db.backup.json trước khi test Admin, đăng ký và API (các thao tác này ghi vào db.json). 2) Email đăng ký phải khác nhau mỗi lần chạy (thêm timestamp). 3) Razorpay cần Internet; key test trong code có thể đã hết hiệu lực. 4) Dùng bản ghi test cho POST/PATCH/DELETE ở API.</t>
  </si>
  <si>
    <t>Dữ liệu mẫu</t>
  </si>
  <si>
    <t>Tài khoản: test@example.com / 123456. Mã giảm giá: family5, family10, family15, family20, family25, family30 (viết thường). Mock API: http://localhost:3001; Web: http://localhost:3000.</t>
  </si>
  <si>
    <t>Ví dụ một dòng đã điền</t>
  </si>
  <si>
    <t>Trường</t>
  </si>
  <si>
    <t>Ví dụ</t>
  </si>
  <si>
    <t>ID</t>
  </si>
  <si>
    <t>REG-09</t>
  </si>
  <si>
    <t>Mô tả</t>
  </si>
  <si>
    <t>Mật khẩu thiếu chữ hoa</t>
  </si>
  <si>
    <t>Dữ liệu test</t>
  </si>
  <si>
    <t>Password: abc#1234</t>
  </si>
  <si>
    <t>Kết quả mong đợi</t>
  </si>
  <si>
    <t>Báo lỗi 'at least one upper case'; không cho đăng ký</t>
  </si>
  <si>
    <t>Kết quả thực tế (ô vàng)</t>
  </si>
  <si>
    <t>Đăng ký thành công, chuyển sang /login</t>
  </si>
  <si>
    <t>Trạng thái (ô vàng)</t>
  </si>
  <si>
    <t>Fail</t>
  </si>
  <si>
    <t>Ghi chú / Bug ID (ô vàng)</t>
  </si>
  <si>
    <t>BUG-01 – ảnh chụp: evidence/REG-09.png</t>
  </si>
  <si>
    <t>KẾ HOẠCH KIỂM THỬ (TEST PLAN)</t>
  </si>
  <si>
    <t>Hệ thống kiểm thử</t>
  </si>
  <si>
    <t>Sports-K – website thương mại điện tử bán giày và quần áo thể thao (nam/nữ).</t>
  </si>
  <si>
    <t>Kiến trúc</t>
  </si>
  <si>
    <t>Frontend: React 18, Redux, Chakra UI, React Router (cổng 3000). Backend giả lập: JSON Server (Node.js, cổng 3001) với các endpoint tự viết /auth/signup, /auth/login, /auth/:email, /allproducts. Thanh toán: Razorpay chế độ test.</t>
  </si>
  <si>
    <t>Mục tiêu</t>
  </si>
  <si>
    <t>Phát hiện lỗi chức năng, giao diện, API và mã nguồn; đánh giá chất lượng và độ ổn định; đề xuất cải thiện.</t>
  </si>
  <si>
    <t>Phạm vi (trong)</t>
  </si>
  <si>
    <t>Đăng ký; Đăng nhập/đăng xuất/phân quyền route; Danh sách, lọc, sắp xếp sản phẩm; Chi tiết sản phẩm; Giỏ hàng; Wishlist; Mã giảm giá; Checkout và thanh toán (đến Razorpay sandbox); Trang quản trị sản phẩm; Giao diện (responsive, dark mode, trình duyệt); API (Postman); Phân tích mã nguồn (SonarQube).</t>
  </si>
  <si>
    <t>Ngoài phạm vi</t>
  </si>
  <si>
    <t>Thanh toán thật; kiểm thử tải lớn; kiểm thử xâm nhập chuyên sâu; SEO; hạ tầng triển khai.</t>
  </si>
  <si>
    <t>Môi trường (điền)</t>
  </si>
  <si>
    <t>Hệ điều hành: ........; Node.js: ........; Chrome: ........; Firefox: ........; Edge: ........; Selenium: ........; Postman: ........; SonarQube: Community Build v26.10 (Docker 29.9.1, scanner @sonar/scan)</t>
  </si>
  <si>
    <t>Công cụ</t>
  </si>
  <si>
    <t>Selenium WebDriver (kiểm thử giao diện tự động) · Postman/Newman (API) · SonarQube + sonar-scanner (mã nguồn) · Jest + React Testing Library (unit test, tạo coverage cho SonarQube) · Lighthouse (hiệu năng).</t>
  </si>
  <si>
    <t>Chiến lược</t>
  </si>
  <si>
    <t>1) Khám phá thủ công và xác minh lỗi nghi vấn. 2) Thực thi test case thủ công. 3) Tự động hóa các luồng chính bằng Selenium và API bằng Postman. 4) Quét SonarQube và viết unit test. 5) Tổng hợp lỗi và báo cáo.</t>
  </si>
  <si>
    <t>Tiêu chí bắt đầu</t>
  </si>
  <si>
    <t>Cả hai máy chủ (3000, 3001) chạy được; đã sao lưu db.json; có tài khoản và dữ liệu test.</t>
  </si>
  <si>
    <t>Tiêu chí kết thúc</t>
  </si>
  <si>
    <t>100% test case được thực thi; không còn lỗi Critical chưa được ghi nhận/phân tích; tỷ lệ Pass và Quality Gate SonarQube được báo cáo kèm phân tích nguyên nhân.</t>
  </si>
  <si>
    <t>Mức độ lỗi</t>
  </si>
  <si>
    <t>Critical: lỗ hổng bảo mật nghiêm trọng, mất dữ liệu, chức năng cốt lõi không dùng được.
Major: chức năng chính sai hoặc thiếu nhưng có cách khắc phục.
Minor: lỗi nhỏ, ảnh hưởng ít tới người dùng.
Trivial: lỗi thẩm mỹ, không ảnh hưởng chức năng.</t>
  </si>
  <si>
    <t>Rủi ro</t>
  </si>
  <si>
    <t>Key Razorpay test có thể hết hiệu lực; phụ thuộc Internet; test Admin/API làm thay đổi db.json; backend là mock server nên một số lỗi bảo mật xuất phát từ thiết kế giả lập (cần nêu rõ trong báo cáo).</t>
  </si>
  <si>
    <t>TỔNG HỢP KẾT QUẢ KIỂM THỬ</t>
  </si>
  <si>
    <t>Module</t>
  </si>
  <si>
    <t>Tổng số TC</t>
  </si>
  <si>
    <t>Pass</t>
  </si>
  <si>
    <t>Blocked</t>
  </si>
  <si>
    <t>Not Run</t>
  </si>
  <si>
    <t>% đã thực hiện</t>
  </si>
  <si>
    <t>% Pass (trên tổng)</t>
  </si>
  <si>
    <t>Đăng ký</t>
  </si>
  <si>
    <t>Đăng nhập</t>
  </si>
  <si>
    <t>Lọc / Sắp xếp</t>
  </si>
  <si>
    <t>Chi tiết sản phẩm</t>
  </si>
  <si>
    <t>Giỏ hàng</t>
  </si>
  <si>
    <t>Wishlist</t>
  </si>
  <si>
    <t>Mã giảm giá</t>
  </si>
  <si>
    <t>Checkout / Thanh toán</t>
  </si>
  <si>
    <t>Quản trị</t>
  </si>
  <si>
    <t>Giao diện</t>
  </si>
  <si>
    <t>API (Postman)</t>
  </si>
  <si>
    <t>TỔNG</t>
  </si>
  <si>
    <t>THỐNG KÊ LỖI (Bug_Report)</t>
  </si>
  <si>
    <t>Mức độ</t>
  </si>
  <si>
    <t>Tổng</t>
  </si>
  <si>
    <t>Nghi vấn</t>
  </si>
  <si>
    <t>Đã xác nhận</t>
  </si>
  <si>
    <t>Đã sửa</t>
  </si>
  <si>
    <t>Critical</t>
  </si>
  <si>
    <t>Major</t>
  </si>
  <si>
    <t>Minor</t>
  </si>
  <si>
    <t>Trivial</t>
  </si>
  <si>
    <t>Ghi chú: các số liệu trên là công thức, tự cập nhật khi bạn đổi Trạng thái ở các sheet TC_* và Bug_Report.</t>
  </si>
  <si>
    <t>Điều kiện tiên quyết</t>
  </si>
  <si>
    <t>Các bước thực hiện</t>
  </si>
  <si>
    <t>Kết quả thực tế</t>
  </si>
  <si>
    <t>Ghi chú / Bug ID</t>
  </si>
  <si>
    <t>REG-01</t>
  </si>
  <si>
    <t>Đăng ký thành công với dữ liệu hợp lệ</t>
  </si>
  <si>
    <t>Đang ở /register; email chưa tồn tại</t>
  </si>
  <si>
    <t>1. Mở /register
2. Nhập đủ 5 trường
3. Bấm Sign up</t>
  </si>
  <si>
    <t>Name: Nguyen
Username: nguyen01
Email: nguyen01@example.com
Password: Abc#1234
Mobile: 0912345678</t>
  </si>
  <si>
    <t>Toast 'Registered Successful'; chuyển sang /login; POST /auth/signup trả 201; db.json có user mới</t>
  </si>
  <si>
    <t>Đúng như mong đợi</t>
  </si>
  <si>
    <t>Selenium</t>
  </si>
  <si>
    <t>REG-02</t>
  </si>
  <si>
    <t>Để trống tất cả các trường</t>
  </si>
  <si>
    <t>Đang ở /register</t>
  </si>
  <si>
    <t>1. Không nhập gì
2. Bấm Sign up</t>
  </si>
  <si>
    <t>Tất cả để trống</t>
  </si>
  <si>
    <t>Toast lỗi 'Please fill all the details'; không gọi API</t>
  </si>
  <si>
    <t>REG-03</t>
  </si>
  <si>
    <t>Để trống lần lượt từng trường bắt buộc</t>
  </si>
  <si>
    <t>1. Nhập hợp lệ 4 trường, bỏ trống 1 trường
2. Bấm Sign up
3. Lặp lại cho từng trường</t>
  </si>
  <si>
    <t>Lần lượt bỏ trống: Name, Username, Email, Password, Mobile</t>
  </si>
  <si>
    <t>Mỗi lần đều báo 'Please fill all the details'</t>
  </si>
  <si>
    <t>REG-04</t>
  </si>
  <si>
    <t>Tên không viết hoa chữ cái đầu</t>
  </si>
  <si>
    <t>1. Nhập Name viết thường
2. Các trường khác hợp lệ
3. Bấm Sign up</t>
  </si>
  <si>
    <t>Name: nguyen</t>
  </si>
  <si>
    <t>Toast lỗi: First latter should be Capital in "nguyen"</t>
  </si>
  <si>
    <t>REG-05</t>
  </si>
  <si>
    <t>Email thiếu ký tự @</t>
  </si>
  <si>
    <t>1. Nhập email sai định dạng
2. Bấm Sign up</t>
  </si>
  <si>
    <t>Email: nguyen01example.com</t>
  </si>
  <si>
    <t>Toast 'Please provide a valid email id'</t>
  </si>
  <si>
    <t>REG-06</t>
  </si>
  <si>
    <t>Email thiếu phần tên miền (dấu chấm)</t>
  </si>
  <si>
    <t>1. Nhập email sai
2. Bấm Sign up</t>
  </si>
  <si>
    <t>Email: nguyen01@example</t>
  </si>
  <si>
    <t>REG-07</t>
  </si>
  <si>
    <t>Mật khẩu ngắn hơn 6 ký tự</t>
  </si>
  <si>
    <t>1. Nhập mật khẩu ngắn
2. Bấm Sign up</t>
  </si>
  <si>
    <t>Password: Ab#1</t>
  </si>
  <si>
    <t>Toast 'Password must contain these things:' kèm 'at least 6 characters'</t>
  </si>
  <si>
    <t>REG-08</t>
  </si>
  <si>
    <t>Mật khẩu dài hơn 16 ký tự</t>
  </si>
  <si>
    <t>1. Nhập mật khẩu 17 ký tự
2. Bấm Sign up</t>
  </si>
  <si>
    <t>Password: Abcdefgh#12345678 (17 ký tự)</t>
  </si>
  <si>
    <t>Toast báo 'not more than 16 characters'</t>
  </si>
  <si>
    <t>1. Nhập mật khẩu chỉ có chữ thường, số, ký tự đặc biệt
2. Bấm Sign up</t>
  </si>
  <si>
    <t>AssertionError: Kỳ vọng báo lỗi chữ hoa (nghi vấn BUG-01)</t>
  </si>
  <si>
    <t>Bug: BUG-01</t>
  </si>
  <si>
    <t>REG-10</t>
  </si>
  <si>
    <t>Mật khẩu thiếu chữ số / thiếu ký tự đặc biệt</t>
  </si>
  <si>
    <t>1. Nhập từng mật khẩu bên dưới
2. Bấm Sign up</t>
  </si>
  <si>
    <t>Abcdef#g (thiếu số)
Abcd1234 (thiếu ký tự đặc biệt)</t>
  </si>
  <si>
    <t>Báo 'at least one number' / 'at least one special character(! @ # $ % ^ &amp; *)'</t>
  </si>
  <si>
    <t>REG-11</t>
  </si>
  <si>
    <t>Số điện thoại không đủ 10 chữ số</t>
  </si>
  <si>
    <t>1. Nhập SĐT 9 chữ số
2. Bấm Sign up</t>
  </si>
  <si>
    <t>Mobile: 091234567</t>
  </si>
  <si>
    <t>Toast 'Please provide 10 digit valid mobile number'</t>
  </si>
  <si>
    <t>REG-12</t>
  </si>
  <si>
    <t>Số điện thoại chứa chữ cái (đủ 10 ký tự)</t>
  </si>
  <si>
    <t>1. Nhập SĐT có chữ
2. Bấm Sign up</t>
  </si>
  <si>
    <t>Mobile: 09123abcde</t>
  </si>
  <si>
    <t>Không cho đăng ký (SĐT chỉ gồm chữ số)</t>
  </si>
  <si>
    <t>Bug: BUG-14 (không tái hiện qua UI)</t>
  </si>
  <si>
    <t>REG-13</t>
  </si>
  <si>
    <t>Đăng ký bằng email đã tồn tại</t>
  </si>
  <si>
    <t>Tài khoản test@example.com đã có</t>
  </si>
  <si>
    <t>1. Nhập email đã tồn tại, các trường khác hợp lệ
2. Bấm Sign up</t>
  </si>
  <si>
    <t>Email: test@example.com</t>
  </si>
  <si>
    <t>Toast 'User already exists' (API 409); ở lại /register</t>
  </si>
  <si>
    <t>REG-14</t>
  </si>
  <si>
    <t>Nút hiện/ẩn mật khẩu</t>
  </si>
  <si>
    <t>1. Nhập mật khẩu
2. Bấm biểu tượng mắt 2 lần</t>
  </si>
  <si>
    <t>Password: Abc#1234</t>
  </si>
  <si>
    <t>Lần 1 hiện dạng chữ, lần 2 ẩn lại</t>
  </si>
  <si>
    <t>LOG-01</t>
  </si>
  <si>
    <t>Đăng nhập thành công</t>
  </si>
  <si>
    <t>Tài khoản mẫu tồn tại</t>
  </si>
  <si>
    <t>1. Mở /login
2. Nhập Email, Password
3. Bấm Sign in</t>
  </si>
  <si>
    <t>test@example.com / 123456</t>
  </si>
  <si>
    <t>Toast 'Login Success'; chuyển về '/'; localStorage có 'token' và 'userInfo'; Navbar hiển thị thông tin người dùng</t>
  </si>
  <si>
    <t>LOG-02</t>
  </si>
  <si>
    <t>Đăng nhập sai mật khẩu</t>
  </si>
  <si>
    <t>Đang ở /login</t>
  </si>
  <si>
    <t>1. Nhập email đúng, mật khẩu sai
2. Bấm Sign in
3. Đếm số toast hiển thị</t>
  </si>
  <si>
    <t>test@example.com / Sai#1234</t>
  </si>
  <si>
    <t>Toast 'Wrong email or password' (API 401); ở lại /login; không lưu token; chỉ 1 toast</t>
  </si>
  <si>
    <t>Bug: BUG-13 (không tái hiện)</t>
  </si>
  <si>
    <t>LOG-03</t>
  </si>
  <si>
    <t>Đăng nhập email không tồn tại</t>
  </si>
  <si>
    <t>1. Nhập email chưa đăng ký
2. Bấm Sign in</t>
  </si>
  <si>
    <t>khongco@example.com / 123456</t>
  </si>
  <si>
    <t>Toast 'Wrong email or password'; ở lại /login</t>
  </si>
  <si>
    <t>LOG-04</t>
  </si>
  <si>
    <t>Để trống Email hoặc Password</t>
  </si>
  <si>
    <t>1. Bỏ trống một trường
2. Bấm Sign in</t>
  </si>
  <si>
    <t>Email trống hoặc Password trống</t>
  </si>
  <si>
    <t>Hiển thị thông báo yêu cầu nhập đủ thông tin; không gọi API</t>
  </si>
  <si>
    <t>AssertionError: Không có thông báo khi để trống (nghi vấn BUG-12)</t>
  </si>
  <si>
    <t>Bug: BUG-12</t>
  </si>
  <si>
    <t>LOG-05</t>
  </si>
  <si>
    <t>Password: 123456</t>
  </si>
  <si>
    <t>Lần 1 hiện chữ, lần 2 ẩn lại</t>
  </si>
  <si>
    <t>LOG-06</t>
  </si>
  <si>
    <t>Truy cập /checkout khi chưa đăng nhập, quay lại sau khi đăng nhập</t>
  </si>
  <si>
    <t>Chưa đăng nhập (xóa localStorage)</t>
  </si>
  <si>
    <t>1. Mở trực tiếp /checkout
2. Quan sát
3. Đăng nhập hợp lệ</t>
  </si>
  <si>
    <t>Bị chuyển sang /login; sau khi đăng nhập quay lại /checkout</t>
  </si>
  <si>
    <t>LOG-07</t>
  </si>
  <si>
    <t>Truy cập /wishlist khi chưa đăng nhập</t>
  </si>
  <si>
    <t>Chưa đăng nhập</t>
  </si>
  <si>
    <t>1. Mở trực tiếp /wishlist</t>
  </si>
  <si>
    <t>—</t>
  </si>
  <si>
    <t>Bị chuyển sang /login</t>
  </si>
  <si>
    <t>LOG-08</t>
  </si>
  <si>
    <t>Giữ phiên đăng nhập sau khi tải lại trang (F5)</t>
  </si>
  <si>
    <t>Đã đăng nhập</t>
  </si>
  <si>
    <t>1. Nhấn F5
2. Mở /wishlist</t>
  </si>
  <si>
    <t>Vẫn đăng nhập; không bị chuyển về /login</t>
  </si>
  <si>
    <t>LOG-09</t>
  </si>
  <si>
    <t>Đăng xuất</t>
  </si>
  <si>
    <t>1. Mở menu tài khoản trên Navbar
2. Chọn Logout
3. Mở /wishlist</t>
  </si>
  <si>
    <t>Xóa 'token' và 'userInfo' trong localStorage; /wishlist bị chuyển về /login</t>
  </si>
  <si>
    <t>LOG-10</t>
  </si>
  <si>
    <t>Đăng nhập bằng tài khoản admin hardcode trong code</t>
  </si>
  <si>
    <t>1. Nhập thông tin admin có trong Login.jsx
2. Bấm Sign in</t>
  </si>
  <si>
    <t>nareshmewada014@gmail.com / naresh#111*</t>
  </si>
  <si>
    <t>Tài khoản không có trong db.json → đăng nhập thất bại, không vào được /admin</t>
  </si>
  <si>
    <t>Manual</t>
  </si>
  <si>
    <t>Gợi ý: liên quan BUG-08 (nghi vấn)</t>
  </si>
  <si>
    <t>LOG-11</t>
  </si>
  <si>
    <t>Chuỗi tấn công SQL injection cơ bản</t>
  </si>
  <si>
    <t>1. Nhập chuỗi bên dưới vào cả 2 trường
2. Bấm Sign in</t>
  </si>
  <si>
    <t>Email: ' OR '1'='1
Password: ' OR '1'='1</t>
  </si>
  <si>
    <t>Đăng nhập thất bại (401); không lỗi 500; không vào được hệ thống</t>
  </si>
  <si>
    <t>LOG-12</t>
  </si>
  <si>
    <t>Remember me và Forgot password</t>
  </si>
  <si>
    <t>1. Tick 'Remember me'
2. Bấm 'Forgot password?'</t>
  </si>
  <si>
    <t>Chức năng hoạt động, hoặc được ẩn nếu chưa hỗ trợ</t>
  </si>
  <si>
    <t>FIL-01</t>
  </si>
  <si>
    <t>Hiển thị toàn bộ sản phẩm khi chưa lọc</t>
  </si>
  <si>
    <t>mock-server đang chạy</t>
  </si>
  <si>
    <t>1. Mở /allproducts
2. Đếm số thẻ sản phẩm</t>
  </si>
  <si>
    <t>Hiển thị 28 sản phẩm; mỗi thẻ có ảnh, tên, giá</t>
  </si>
  <si>
    <t>FIL-02</t>
  </si>
  <si>
    <t>Trang /men chỉ hiển thị sản phẩm nam</t>
  </si>
  <si>
    <t>1. Mở /men
2. Đếm và kiểm tra giới tính</t>
  </si>
  <si>
    <t>14 sản phẩm MEN, không lẫn sản phẩm nữ</t>
  </si>
  <si>
    <t>FIL-03</t>
  </si>
  <si>
    <t>Trang /women chỉ hiển thị sản phẩm nữ</t>
  </si>
  <si>
    <t>1. Mở /women
2. Đếm và kiểm tra giới tính</t>
  </si>
  <si>
    <t>14 sản phẩm WOMEN, không lẫn sản phẩm nam</t>
  </si>
  <si>
    <t>FIL-04</t>
  </si>
  <si>
    <t>Trang /shoes chỉ hiển thị giày</t>
  </si>
  <si>
    <t>1. Mở /shoes
2. Đếm và kiểm tra loại</t>
  </si>
  <si>
    <t>16 sản phẩm category=shoes, không có quần áo</t>
  </si>
  <si>
    <t>FIL-05</t>
  </si>
  <si>
    <t>Lọc theo loại (Category)</t>
  </si>
  <si>
    <t>Đang ở /allproducts</t>
  </si>
  <si>
    <t>1. Tick 'Clothes' → ghi số lượng
2. Bỏ, tick 'Shoes'
3. Tick cả hai</t>
  </si>
  <si>
    <t>Clothes / Shoes / cả hai</t>
  </si>
  <si>
    <t>Clothes: 12; Shoes: 16; cả hai: 28</t>
  </si>
  <si>
    <t>FIL-06</t>
  </si>
  <si>
    <t>Lọc theo một màu</t>
  </si>
  <si>
    <t>1. Tick màu Black
2. So sánh với GET /allproducts?colortype=black</t>
  </si>
  <si>
    <t>Color: Black</t>
  </si>
  <si>
    <t>7 sản phẩm màu black; số lượng khớp API</t>
  </si>
  <si>
    <t>FIL-07</t>
  </si>
  <si>
    <t>Lọc nhiều màu (Red + Blue)</t>
  </si>
  <si>
    <t>1. Tick Red và Blue</t>
  </si>
  <si>
    <t>Color: Red, Blue</t>
  </si>
  <si>
    <t>14 sản phẩm (hợp của 2 màu, logic OR)</t>
  </si>
  <si>
    <t>FIL-08</t>
  </si>
  <si>
    <t>Kết hợp nhiều bộ lọc</t>
  </si>
  <si>
    <t>1. Tick Shoes + MEN → ghi số lượng
2. Đổi sang Shoes + WOMEN + White</t>
  </si>
  <si>
    <t>Shoes + MEN
Shoes + WOMEN + White</t>
  </si>
  <si>
    <t>Shoes + MEN: 8 sản phẩm; Shoes + WOMEN + White: 2 sản phẩm (giao của các điều kiện)</t>
  </si>
  <si>
    <t>FIL-09</t>
  </si>
  <si>
    <t>Lọc theo size Small</t>
  </si>
  <si>
    <t>1. Tick Size 'small'</t>
  </si>
  <si>
    <t>Size: small</t>
  </si>
  <si>
    <t>12 sản phẩm là quần áo có size small</t>
  </si>
  <si>
    <t>Mục lọc Size không có trên giao diện (khối mã bị comment)</t>
  </si>
  <si>
    <t>Bug: BUG-19</t>
  </si>
  <si>
    <t>FIL-10</t>
  </si>
  <si>
    <t>Sắp xếp theo đánh giá (rating)</t>
  </si>
  <si>
    <t>1. Chọn sắp xếp ASC → ghi thứ tự rating
2. Chọn DESC → ghi thứ tự rating</t>
  </si>
  <si>
    <t>ASC, DESC</t>
  </si>
  <si>
    <t>ASC: rating tăng dần; DESC: giảm dần; số lượng sản phẩm không đổi</t>
  </si>
  <si>
    <t>FIL-11</t>
  </si>
  <si>
    <t>Bộ lọc size có áp dụng cho giày (6–10) không</t>
  </si>
  <si>
    <t>Đang ở /shoes</t>
  </si>
  <si>
    <t>1. Quan sát mục Size trong bộ lọc</t>
  </si>
  <si>
    <t>Size giày: 6, 7, 8, 9, 10</t>
  </si>
  <si>
    <t>Có tùy chọn lọc size giày (hoặc ghi nhận rõ là không hỗ trợ)</t>
  </si>
  <si>
    <t>Gợi ý: liên quan BUG-19 (nghi vấn)</t>
  </si>
  <si>
    <t>FIL-12</t>
  </si>
  <si>
    <t>Bộ lọc cho kết quả rỗng</t>
  </si>
  <si>
    <t>1. Tick Shoes
2. Tick Size 'small'</t>
  </si>
  <si>
    <t>Shoes + small</t>
  </si>
  <si>
    <t>Hiển thị trạng thái rỗng thân thiện; không lỗi hoặc trang trắng</t>
  </si>
  <si>
    <t>Dữ liệu db.json có đủ mọi tổ hợp Category×Gender×Color -&gt; không tạo được kết quả rỗng qua UI; test thủ công bằng URL</t>
  </si>
  <si>
    <t>FIL-13</t>
  </si>
  <si>
    <t>Giữ bộ lọc theo URL và khi tải lại trang</t>
  </si>
  <si>
    <t>1. Tick Shoes + Red
2. Copy URL, nhấn F5
3. Mở URL ở tab mới</t>
  </si>
  <si>
    <t>Shoes + Red</t>
  </si>
  <si>
    <t>Checkbox vẫn được chọn; kết quả giống nhau ở cả 3 trường hợp</t>
  </si>
  <si>
    <t>FIL-14</t>
  </si>
  <si>
    <t>Lọc trên trang /shoes khi chọn thêm Clothes</t>
  </si>
  <si>
    <t>1. Tick 'Clothes' trong bộ lọc Category</t>
  </si>
  <si>
    <t>Category: Clothes</t>
  </si>
  <si>
    <t>Hành vi nhất quán với tên trang (ghi nhận kết quả thực tế)</t>
  </si>
  <si>
    <t>FIL-15</t>
  </si>
  <si>
    <t>Tìm kiếm sản phẩm theo từ khóa</t>
  </si>
  <si>
    <t>1. Tìm ô/biểu tượng tìm kiếm trên Navbar
2. Nhập 'Air Runner'</t>
  </si>
  <si>
    <t>Từ khóa: Air Runner</t>
  </si>
  <si>
    <t>Có chức năng tìm kiếm và trả về đúng sản phẩm</t>
  </si>
  <si>
    <t>Gợi ý: liên quan BUG-16 (nghi vấn)</t>
  </si>
  <si>
    <t>DET-01</t>
  </si>
  <si>
    <t>Hiển thị thông tin chi tiết sản phẩm</t>
  </si>
  <si>
    <t>1. Từ /allproducts bấm sản phẩm id=1</t>
  </si>
  <si>
    <t>Sản phẩm: Air Runner M</t>
  </si>
  <si>
    <t>URL /description/1; tên 'Air Runner M'; giá gốc gạch ngang 712.000 ₫; giá bán 562.000 ₫; màu red; size 6, 7, 8, 9, 10</t>
  </si>
  <si>
    <t>DET-02</t>
  </si>
  <si>
    <t>Nút thêm vào giỏ khi chưa chọn size</t>
  </si>
  <si>
    <t>Đang ở trang chi tiết</t>
  </si>
  <si>
    <t>1. Không chọn size
2. Quan sát nút thêm vào giỏ</t>
  </si>
  <si>
    <t>Nút bị vô hiệu và hiển thị 'Please Select A Size'</t>
  </si>
  <si>
    <t>DET-03</t>
  </si>
  <si>
    <t>Chọn size và thêm vào giỏ</t>
  </si>
  <si>
    <t>1. Chọn một size
2. Bấm 'ADD TO BAG'</t>
  </si>
  <si>
    <t>Size: 6</t>
  </si>
  <si>
    <t>Nút đổi thành 'ADD TO BAG'; toast 'Item added to your bag'; số lượng trên biểu tượng giỏ +1</t>
  </si>
  <si>
    <t>DET-04</t>
  </si>
  <si>
    <t>Thêm vào danh sách yêu thích</t>
  </si>
  <si>
    <t>1. Bấm 'ADD TO FAVOURITE'</t>
  </si>
  <si>
    <t>Có phản hồi (toast); số lượng wishlist trên Navbar +1 (ghi nhận có yêu cầu đăng nhập hay không)</t>
  </si>
  <si>
    <t>DET-05</t>
  </si>
  <si>
    <t>Truy cập sản phẩm không tồn tại</t>
  </si>
  <si>
    <t>1. Mở /description/9999</t>
  </si>
  <si>
    <t>id = 9999</t>
  </si>
  <si>
    <t>Thông báo 'không tìm thấy sản phẩm' hoặc chuyển 404; không trang trắng/crash</t>
  </si>
  <si>
    <t>DET-06</t>
  </si>
  <si>
    <t>Truy cập sản phẩm với id không hợp lệ</t>
  </si>
  <si>
    <t>1. Mở /description/abc</t>
  </si>
  <si>
    <t>id = abc</t>
  </si>
  <si>
    <t>Xử lý lỗi thân thiện; không crash ứng dụng</t>
  </si>
  <si>
    <t>DET-07</t>
  </si>
  <si>
    <t>Tải ảnh sản phẩm</t>
  </si>
  <si>
    <t>1. Mở trang chi tiết
2. Kiểm tra từng ảnh</t>
  </si>
  <si>
    <t>5 ảnh/sản phẩm từ localhost:3001/photos</t>
  </si>
  <si>
    <t>Tất cả ảnh tải được, không ảnh vỡ</t>
  </si>
  <si>
    <t>DET-08</t>
  </si>
  <si>
    <t>Quy đổi giá sang VND</t>
  </si>
  <si>
    <t>1. Mở trang chi tiết của id 1, 2, 3
2. So sánh giá hiển thị với giá trị mong đợi</t>
  </si>
  <si>
    <t>id 1, 2, 3</t>
  </si>
  <si>
    <t>id=1: gốc 712.000 ₫; bán 562.000 ₫
id=2: gốc 824.000 ₫; bán 674.000 ₫
id=3: gốc 936.000 ₫; bán 786.000 ₫</t>
  </si>
  <si>
    <t>CART-01</t>
  </si>
  <si>
    <t>Giỏ hàng trống</t>
  </si>
  <si>
    <t>Chưa thêm sản phẩm</t>
  </si>
  <si>
    <t>1. Mở /cart</t>
  </si>
  <si>
    <t>Hiển thị màn hình giỏ trống; không có nút thanh toán</t>
  </si>
  <si>
    <t>CART-02</t>
  </si>
  <si>
    <t>Thêm 1 sản phẩm vào giỏ</t>
  </si>
  <si>
    <t>1. Mở sản phẩm id=1
2. Chọn size, thêm vào giỏ
3. Mở /cart</t>
  </si>
  <si>
    <t>Air Runner M, size 6</t>
  </si>
  <si>
    <t>Có 1 dòng: tên, size, màu, SL=1; 'TOTAL [1 items]'; badge Navbar = 1</t>
  </si>
  <si>
    <t>CART-03</t>
  </si>
  <si>
    <t>Thêm cùng sản phẩm, cùng size</t>
  </si>
  <si>
    <t>Giỏ có 1 sản phẩm</t>
  </si>
  <si>
    <t>1. Thêm lại cùng sản phẩm và size</t>
  </si>
  <si>
    <t>Chỉ 1 dòng, SL = 2</t>
  </si>
  <si>
    <t>CART-04</t>
  </si>
  <si>
    <t>Thêm cùng sản phẩm, khác size</t>
  </si>
  <si>
    <t>1. Thêm lại cùng sản phẩm nhưng chọn size khác</t>
  </si>
  <si>
    <t>Size 6 và 7</t>
  </si>
  <si>
    <t>Có 2 dòng riêng cho 2 size</t>
  </si>
  <si>
    <t>CART-05</t>
  </si>
  <si>
    <t>Tăng số lượng bằng nút +</t>
  </si>
  <si>
    <t>Giỏ có 1 dòng SL=1</t>
  </si>
  <si>
    <t>1. Bấm nút +</t>
  </si>
  <si>
    <t>SL tăng 1; tổng tiền cập nhật</t>
  </si>
  <si>
    <t>CART-06</t>
  </si>
  <si>
    <t>Giảm số lượng bằng nút −</t>
  </si>
  <si>
    <t>Giỏ có 1 dòng SL=2</t>
  </si>
  <si>
    <t>1. Bấm nút −</t>
  </si>
  <si>
    <t>SL giảm còn 1; tổng tiền cập nhật</t>
  </si>
  <si>
    <t>CART-07</t>
  </si>
  <si>
    <t>Giảm số lượng khi SL = 1</t>
  </si>
  <si>
    <t>Sản phẩm bị xóa khỏi giỏ; nếu giỏ rỗng hiển thị màn hình giỏ trống</t>
  </si>
  <si>
    <t>CART-08</t>
  </si>
  <si>
    <t>Tính tổng tiền</t>
  </si>
  <si>
    <t>Giỏ trống</t>
  </si>
  <si>
    <t>1. Thêm 2 × id=1 và 1 × id=2 (size bất kỳ)
2. Mở /cart</t>
  </si>
  <si>
    <t>2 × Air Runner M (id=1) + 1 × Court Classic M (id=2)</t>
  </si>
  <si>
    <t>'TOTAL [3 items]'; ORIGINAL PRICE 2.248.000 ₫; tổng thanh toán 1.798.000 ₫</t>
  </si>
  <si>
    <t>CART-09</t>
  </si>
  <si>
    <t>Giữ giỏ hàng sau khi tải lại trang (F5)</t>
  </si>
  <si>
    <t>Giỏ có sản phẩm</t>
  </si>
  <si>
    <t>1. Nhấn F5 ở /cart</t>
  </si>
  <si>
    <t>Giỏ hàng vẫn còn đầy đủ</t>
  </si>
  <si>
    <t>AssertionError: Giỏ hàng mất sau F5 (nghi vấn BUG-09)</t>
  </si>
  <si>
    <t>Bug: BUG-09</t>
  </si>
  <si>
    <t>CART-10</t>
  </si>
  <si>
    <t>Badge số lượng trên Navbar</t>
  </si>
  <si>
    <t>Giỏ có nhiều dòng</t>
  </si>
  <si>
    <t>1. So sánh số trên biểu tượng giỏ với tổng SL</t>
  </si>
  <si>
    <t>Badge = 3 (tổng số lượng)</t>
  </si>
  <si>
    <t>CART-11</t>
  </si>
  <si>
    <t>Xem giỏ khi chưa đăng nhập và bấm thanh toán</t>
  </si>
  <si>
    <t>Chưa đăng nhập, giỏ có sản phẩm</t>
  </si>
  <si>
    <t>1. Mở /cart
2. Bấm nút thanh toán</t>
  </si>
  <si>
    <t>Xem được /cart; bấm thanh toán → chuyển /login; đăng nhập xong quay lại /checkout</t>
  </si>
  <si>
    <t>CART-12</t>
  </si>
  <si>
    <t>Số lượng rất lớn</t>
  </si>
  <si>
    <t>Giỏ có 1 dòng</t>
  </si>
  <si>
    <t>1. Bấm nút + nhiều lần (≥ 50)</t>
  </si>
  <si>
    <t>SL ≥ 50</t>
  </si>
  <si>
    <t>Có giới hạn hợp lý hoặc giao diện không vỡ; ghi nhận không kiểm tra tồn kho</t>
  </si>
  <si>
    <t>WL-01</t>
  </si>
  <si>
    <t>Thêm sản phẩm vào wishlist</t>
  </si>
  <si>
    <t>1. Mở trang chi tiết
2. Bấm 'ADD TO FAVOURITE'
3. Mở /wishlist</t>
  </si>
  <si>
    <t>Air Runner M</t>
  </si>
  <si>
    <t>Sản phẩm xuất hiện trong /wishlist</t>
  </si>
  <si>
    <t>WL-02</t>
  </si>
  <si>
    <t>Thêm trùng cùng sản phẩm</t>
  </si>
  <si>
    <t>Wishlist có sản phẩm id=1</t>
  </si>
  <si>
    <t>1. Thêm lại id=1</t>
  </si>
  <si>
    <t>Chỉ có 1 mục, không tạo bản sao</t>
  </si>
  <si>
    <t>WL-03</t>
  </si>
  <si>
    <t>Xóa sản phẩm khỏi wishlist</t>
  </si>
  <si>
    <t>Wishlist có sản phẩm</t>
  </si>
  <si>
    <t>1. Bấm nút X đỏ</t>
  </si>
  <si>
    <t>Sản phẩm biến mất; badge Navbar giảm 1</t>
  </si>
  <si>
    <t>WL-04</t>
  </si>
  <si>
    <t>Mở sản phẩm từ wishlist</t>
  </si>
  <si>
    <t>1. Bấm vào ảnh/tên sản phẩm</t>
  </si>
  <si>
    <t>Chuyển tới /description/{id}</t>
  </si>
  <si>
    <t>WL-05</t>
  </si>
  <si>
    <t>Badge wishlist trên Navbar</t>
  </si>
  <si>
    <t>Wishlist có 2 sản phẩm</t>
  </si>
  <si>
    <t>1. So sánh badge với số sản phẩm</t>
  </si>
  <si>
    <t>Badge = 2</t>
  </si>
  <si>
    <t>WL-06</t>
  </si>
  <si>
    <t>Giữ wishlist sau khi tải lại trang</t>
  </si>
  <si>
    <t>1. Nhấn F5 ở /wishlist</t>
  </si>
  <si>
    <t>Wishlist vẫn còn</t>
  </si>
  <si>
    <t>selenium.common.exceptions.TimeoutException: Message:</t>
  </si>
  <si>
    <t>Ảnh: results/screenshots/WL-06.png; Bug: BUG-09</t>
  </si>
  <si>
    <t>CPN-01</t>
  </si>
  <si>
    <t>Áp từng mã giảm giá hợp lệ</t>
  </si>
  <si>
    <t>Đã đăng nhập; giỏ: 2 × Air Runner M (id=1) + 1 × Court Classic M (id=2); đang ở /checkout</t>
  </si>
  <si>
    <t>1. Nhập mã, bấm nút áp dụng
2. Ghi DISCOUNT và TOTAL
3. Gỡ mã, lặp với mã tiếp theo</t>
  </si>
  <si>
    <t>family5, family10, family15, family20, family25, family30</t>
  </si>
  <si>
    <t>family5: DISCOUNT ≈ 90.000 ₫; TOTAL ≈ 1.708.000 ₫
family10: DISCOUNT ≈ 180.000 ₫; TOTAL ≈ 1.618.000 ₫
family15: DISCOUNT ≈ 269.000 ₫; TOTAL ≈ 1.528.000 ₫
family20: DISCOUNT ≈ 359.000 ₫; TOTAL ≈ 1.438.000 ₫
family25: DISCOUNT ≈ 449.000 ₫; TOTAL ≈ 1.348.000 ₫
family30: DISCOUNT ≈ 539.000 ₫; TOTAL ≈ 1.259.000 ₫
(Giá trị tham chiếu theo công thức trong code; đối chiếu với màn hình)</t>
  </si>
  <si>
    <t>CPN-02</t>
  </si>
  <si>
    <t>Thông báo khi áp mã thành công</t>
  </si>
  <si>
    <t>Như CPN-01</t>
  </si>
  <si>
    <t>1. Nhập family10, bấm áp dụng</t>
  </si>
  <si>
    <t>family10</t>
  </si>
  <si>
    <t>Toast 'Coupon Applied Successfully' – 'You got 10% Discount'; ô nhập bị khóa</t>
  </si>
  <si>
    <t>CPN-03</t>
  </si>
  <si>
    <t>Mã không hợp lệ</t>
  </si>
  <si>
    <t>1. Nhập mã sai, bấm áp dụng</t>
  </si>
  <si>
    <t>abc123</t>
  </si>
  <si>
    <t>Hiển thị thông báo mã không hợp lệ; DISCOUNT = 0</t>
  </si>
  <si>
    <t>assert (False or False)</t>
  </si>
  <si>
    <t>Ảnh: results/screenshots/CPN-03.png; Bug: BUG-25</t>
  </si>
  <si>
    <t>CPN-04</t>
  </si>
  <si>
    <t>Mã viết hoa</t>
  </si>
  <si>
    <t>1. Nhập mã viết hoa, bấm áp dụng</t>
  </si>
  <si>
    <t>FAMILY10</t>
  </si>
  <si>
    <t>Mã được chấp nhận (không phân biệt hoa/thường) hoặc báo lỗi rõ ràng</t>
  </si>
  <si>
    <t>AssertionError: Mã viết hoa không được chấp nhận (code so sánh ===)</t>
  </si>
  <si>
    <t>Ảnh: results/screenshots/CPN-04.png; Bug: BUG-26</t>
  </si>
  <si>
    <t>CPN-05</t>
  </si>
  <si>
    <t>Mã có khoảng trắng đầu/cuối</t>
  </si>
  <si>
    <t>1. Nhập mã có khoảng trắng, bấm áp dụng</t>
  </si>
  <si>
    <t>'family10 '</t>
  </si>
  <si>
    <t>Mã được chấp nhận sau khi bỏ khoảng trắng</t>
  </si>
  <si>
    <t>assert False</t>
  </si>
  <si>
    <t>Ảnh: results/screenshots/CPN-05.png; Bug: BUG-26</t>
  </si>
  <si>
    <t>CPN-06</t>
  </si>
  <si>
    <t>Bấm áp dụng khi chưa nhập mã</t>
  </si>
  <si>
    <t>1. Để trống, bấm áp dụng</t>
  </si>
  <si>
    <t>(trống)</t>
  </si>
  <si>
    <t>Không áp giảm giá; không lỗi</t>
  </si>
  <si>
    <t>CPN-07</t>
  </si>
  <si>
    <t>Gỡ mã đã áp dụng</t>
  </si>
  <si>
    <t>Đã áp family10</t>
  </si>
  <si>
    <t>1. Bấm biểu tượng X để gỡ mã</t>
  </si>
  <si>
    <t>Toast 'Coupon Removed'; DISCOUNT = 0; ô nhập mở lại</t>
  </si>
  <si>
    <t>CPN-08</t>
  </si>
  <si>
    <t>Áp hai mã liên tiếp</t>
  </si>
  <si>
    <t>1. Thử nhập thêm mã khác khi đã áp mã</t>
  </si>
  <si>
    <t>family10 rồi family30</t>
  </si>
  <si>
    <t>Không cộng dồn mã; ô nhập bị khóa cho đến khi gỡ mã</t>
  </si>
  <si>
    <t>CPN-09</t>
  </si>
  <si>
    <t>Mã bị reset khi rời và quay lại checkout</t>
  </si>
  <si>
    <t>1. Bấm 'BACK TO CART'
2. Vào lại /checkout</t>
  </si>
  <si>
    <t>DISCOUNT = 0; ô nhập trống</t>
  </si>
  <si>
    <t>CO-01</t>
  </si>
  <si>
    <t>Truy cập /checkout khi chưa đăng nhập</t>
  </si>
  <si>
    <t>1. Mở /checkout</t>
  </si>
  <si>
    <t>Chuyển sang /login</t>
  </si>
  <si>
    <t>CO-02</t>
  </si>
  <si>
    <t>Vào /checkout khi giỏ hàng trống</t>
  </si>
  <si>
    <t>Đã đăng nhập, giỏ trống</t>
  </si>
  <si>
    <t>1. Mở /checkout
2. Điền form hợp lệ, đặt hàng</t>
  </si>
  <si>
    <t>Bị chặn hoặc chuyển về /cart; không cho thanh toán 0 đồng</t>
  </si>
  <si>
    <t>Gợi ý: liên quan BUG-15 (nghi vấn)</t>
  </si>
  <si>
    <t>CO-03</t>
  </si>
  <si>
    <t>Order Summary khớp với giỏ hàng</t>
  </si>
  <si>
    <t>Đã đăng nhập; giỏ: 2 × Air Runner M (id=1) + 1 × Court Classic M (id=2)</t>
  </si>
  <si>
    <t>1. Mở /checkout
2. Đọc ORDER SUMMARY</t>
  </si>
  <si>
    <t>ITEMS: 2; QUANTITY: 3; ORIGINAL PRICE 2.248.000 ₫; TOTAL 1.798.000 ₫</t>
  </si>
  <si>
    <t>CO-04</t>
  </si>
  <si>
    <t>Để trống tất cả trường</t>
  </si>
  <si>
    <t>Đang ở /checkout có giỏ</t>
  </si>
  <si>
    <t>1. Bấm nút đặt hàng khi form trống</t>
  </si>
  <si>
    <t>Toast 'Please fill the mandatory details'</t>
  </si>
  <si>
    <t>CO-05</t>
  </si>
  <si>
    <t>Để trống một trường bắt buộc</t>
  </si>
  <si>
    <t>Như CO-04</t>
  </si>
  <si>
    <t>1. Điền đủ trừ Town/City
2. Bấm đặt hàng</t>
  </si>
  <si>
    <t>Bỏ trống Town/City</t>
  </si>
  <si>
    <t>CO-06</t>
  </si>
  <si>
    <t>First/Last Name viết thường</t>
  </si>
  <si>
    <t>1. Điền form, First Name viết thường
2. Bấm đặt hàng
3. Lặp với Last Name</t>
  </si>
  <si>
    <t>First Name: an
Last Name: nguyen</t>
  </si>
  <si>
    <t>Toast: First latter should be Capital in "an" (tương tự cho Last Name)</t>
  </si>
  <si>
    <t>CO-07</t>
  </si>
  <si>
    <t>Email sai định dạng</t>
  </si>
  <si>
    <t>1. Điền form với email sai
2. Bấm đặt hàng</t>
  </si>
  <si>
    <t>Email: an@example</t>
  </si>
  <si>
    <t>CO-08</t>
  </si>
  <si>
    <t>Pin Code không đủ 6 ký tự</t>
  </si>
  <si>
    <t>1. Nhập Pin Code 5 số
2. Bấm đặt hàng</t>
  </si>
  <si>
    <t>Pin Code: 12345</t>
  </si>
  <si>
    <t>Toast 'Please provide 6 digit valid pincode'</t>
  </si>
  <si>
    <t>CO-09</t>
  </si>
  <si>
    <t>Pin Code chứa chữ cái (đủ 6 ký tự)</t>
  </si>
  <si>
    <t>1. Nhập Pin Code có chữ
2. Bấm đặt hàng</t>
  </si>
  <si>
    <t>Pin Code: 12ab56</t>
  </si>
  <si>
    <t>Báo lỗi: chỉ chấp nhận chữ số</t>
  </si>
  <si>
    <t>CO-10</t>
  </si>
  <si>
    <t>Mobile không đủ 10 chữ số</t>
  </si>
  <si>
    <t>1. Nhập Mobile 9 số
2. Bấm đặt hàng</t>
  </si>
  <si>
    <t>CO-11</t>
  </si>
  <si>
    <t>Dữ liệu hợp lệ mở popup Razorpay</t>
  </si>
  <si>
    <t>Như CO-04; có Internet</t>
  </si>
  <si>
    <t>1. Điền form hợp lệ (bỏ trống Address Line 2)
2. Bấm đặt hàng</t>
  </si>
  <si>
    <t>First: An; Last: Nguyen; Address 1: 12 Le Loi; Town: Bac Giang; Pin: 220000; State: Bac Ninh; Country: Vietnam; Email: an@example.com; Mobile: 0912345678</t>
  </si>
  <si>
    <t>Popup Razorpay mở, tên cửa hàng 'Sports-K'</t>
  </si>
  <si>
    <t>CO-12</t>
  </si>
  <si>
    <t>Số tiền trong popup khớp tổng hiển thị</t>
  </si>
  <si>
    <t>Popup đã mở (CO-11), giỏ scenario CO-03</t>
  </si>
  <si>
    <t>1. So sánh số tiền trong popup với TOTAL trên trang</t>
  </si>
  <si>
    <t>TOTAL hiển thị: 1.798.000 ₫</t>
  </si>
  <si>
    <t>Số tiền trong popup tương ứng cùng giá trị/đơn vị (code đang truyền 5992 × 100 với currency INR)</t>
  </si>
  <si>
    <t>Gợi ý: liên quan BUG-06 (nghi vấn)</t>
  </si>
  <si>
    <t>CO-13</t>
  </si>
  <si>
    <t>Thông tin prefill trong popup</t>
  </si>
  <si>
    <t>Popup đã mở (CO-11)</t>
  </si>
  <si>
    <t>1. Xem các trường Name, Email, Contact trong popup</t>
  </si>
  <si>
    <t>An Nguyen / an@example.com / 0912345678</t>
  </si>
  <si>
    <t>Name = 'An Nguyen'; Email và Contact đúng</t>
  </si>
  <si>
    <t>Gợi ý: liên quan BUG-07 (nghi vấn)</t>
  </si>
  <si>
    <t>CO-14</t>
  </si>
  <si>
    <t>Thanh toán thành công bằng thẻ test</t>
  </si>
  <si>
    <t>Popup đã mở; key test còn hiệu lực</t>
  </si>
  <si>
    <t>1. Nhập thẻ test theo tài liệu Razorpay
2. Hoàn tất thanh toán
3. Chọn 'Yes' trong hộp thoại</t>
  </si>
  <si>
    <t>Thẻ test Razorpay (xem tài liệu Razorpay)</t>
  </si>
  <si>
    <t>Hộp thoại 'Payment Success!'; hiển thị Payment ID; giỏ hàng bị xóa; chuyển về '/'</t>
  </si>
  <si>
    <t>CO-15</t>
  </si>
  <si>
    <t>Đóng popup khi chưa thanh toán</t>
  </si>
  <si>
    <t>Popup đã mở</t>
  </si>
  <si>
    <t>1. Đóng popup</t>
  </si>
  <si>
    <t>Giỏ hàng giữ nguyên; ở lại /checkout</t>
  </si>
  <si>
    <t>CO-16</t>
  </si>
  <si>
    <t>Không tải được Razorpay SDK</t>
  </si>
  <si>
    <t>Chặn domain checkout.razorpay.com hoặc tắt mạng</t>
  </si>
  <si>
    <t>1. Điền form hợp lệ
2. Bấm đặt hàng</t>
  </si>
  <si>
    <t>Hiển thị thông báo 'Razorpay SDK failed to load. Are you online?'; không crash</t>
  </si>
  <si>
    <t>CO-17</t>
  </si>
  <si>
    <t>Đơn hàng được lưu sau thanh toán</t>
  </si>
  <si>
    <t>Đã thanh toán thành công (CO-14)</t>
  </si>
  <si>
    <t>1. Kiểm tra db.json và API xem có đơn hàng</t>
  </si>
  <si>
    <t>Có bản ghi đơn hàng của người dùng</t>
  </si>
  <si>
    <t>Gợi ý: liên quan BUG-10 (nghi vấn)</t>
  </si>
  <si>
    <t>CO-18</t>
  </si>
  <si>
    <t>Nút BACK TO CART</t>
  </si>
  <si>
    <t>Đang ở /checkout</t>
  </si>
  <si>
    <t>1. Bấm 'BACK TO CART'</t>
  </si>
  <si>
    <t>Chuyển về /cart, giỏ hàng giữ nguyên</t>
  </si>
  <si>
    <t>ADM-01</t>
  </si>
  <si>
    <t>Truy cập /admin khi chưa đăng nhập</t>
  </si>
  <si>
    <t>1. Mở /admin</t>
  </si>
  <si>
    <t>ADM-02</t>
  </si>
  <si>
    <t>Người dùng thường truy cập /admin</t>
  </si>
  <si>
    <t>Đăng nhập test@example.com</t>
  </si>
  <si>
    <t>Bị chặn hoặc chuyển hướng (chỉ admin được vào)</t>
  </si>
  <si>
    <t>AssertionError: User thường vào được /admin (nghi vấn BUG-04)</t>
  </si>
  <si>
    <t>Bug: BUG-04</t>
  </si>
  <si>
    <t>ADM-03</t>
  </si>
  <si>
    <t>Danh sách sản phẩm trong trang Admin</t>
  </si>
  <si>
    <t>Vào được /admin</t>
  </si>
  <si>
    <t>1. Quan sát danh sách</t>
  </si>
  <si>
    <t>Hiển thị 28 sản phẩm gồm ảnh, tên, giới tính, loại, giá VND</t>
  </si>
  <si>
    <t>ADM-04</t>
  </si>
  <si>
    <t>Sửa tên sản phẩm</t>
  </si>
  <si>
    <t>Đã sao lưu db.json</t>
  </si>
  <si>
    <t>1. Bấm nút sửa của id=1
2. Đổi Name
3. Lưu
4. Mở /allproducts</t>
  </si>
  <si>
    <t>Name: Air Runner M EDIT</t>
  </si>
  <si>
    <t>Danh sách Admin cập nhật; PATCH /allproducts/1 thành công; trang khách thấy tên mới</t>
  </si>
  <si>
    <t>ADM-05</t>
  </si>
  <si>
    <t>Sửa giá sản phẩm</t>
  </si>
  <si>
    <t>1. Sửa id=1, ô 'Price (VND)'
2. Lưu
3. Xem Admin và trang chi tiết</t>
  </si>
  <si>
    <t>Price: 500000</t>
  </si>
  <si>
    <t>Hiển thị 500.000 ₫ nhất quán ở Admin và trang khách</t>
  </si>
  <si>
    <t>ADM-06</t>
  </si>
  <si>
    <t>Nhập giá không hợp lệ</t>
  </si>
  <si>
    <t>Đang ở modal sửa</t>
  </si>
  <si>
    <t>1. Nhập giá không hợp lệ
2. Lưu</t>
  </si>
  <si>
    <t>-1000, abc, (trống)</t>
  </si>
  <si>
    <t>Không cho lưu; báo lỗi rõ ràng</t>
  </si>
  <si>
    <t>ADM-07</t>
  </si>
  <si>
    <t>Giá bán cao hơn giá gốc</t>
  </si>
  <si>
    <t>1. Sửa id=1, Price = 5000000
2. Xem trang chi tiết</t>
  </si>
  <si>
    <t>Giá gốc hiện tại: 712.000 ₫</t>
  </si>
  <si>
    <t>Có cảnh báo/ràng buộc, hoặc giá gốc được cập nhật tương ứng</t>
  </si>
  <si>
    <t>Gợi ý: liên quan BUG-18 (nghi vấn)</t>
  </si>
  <si>
    <t>ADM-08</t>
  </si>
  <si>
    <t>Xóa sản phẩm</t>
  </si>
  <si>
    <t>Dùng sản phẩm cuối danh sách; đã sao lưu db.json</t>
  </si>
  <si>
    <t>1. Bấm biểu tượng thùng rác
2. Kiểm tra danh sách
3. GET /allproducts/{id}</t>
  </si>
  <si>
    <t>id = 28</t>
  </si>
  <si>
    <t>Có xác nhận trước khi xóa; sản phẩm biến mất khỏi Admin và trang khách; API trả 404</t>
  </si>
  <si>
    <t>ADM-09</t>
  </si>
  <si>
    <t>Chức năng thêm sản phẩm mới</t>
  </si>
  <si>
    <t>1. Tìm nút/chức năng thêm sản phẩm</t>
  </si>
  <si>
    <t>Có thêm sản phẩm (hoàn chỉnh CRUD)</t>
  </si>
  <si>
    <t>ADM-10</t>
  </si>
  <si>
    <t>Đăng xuất khỏi Admin</t>
  </si>
  <si>
    <t>Đang ở /admin</t>
  </si>
  <si>
    <t>1. Mở menu Admin
2. Chọn Logout</t>
  </si>
  <si>
    <t>Chuyển về /login; xóa token và userInfo</t>
  </si>
  <si>
    <t>UI-01</t>
  </si>
  <si>
    <t>Responsive trên desktop 1920×1080</t>
  </si>
  <si>
    <t>1. Đặt kích thước cửa sổ
2. Duyệt Home, /allproducts, /cart</t>
  </si>
  <si>
    <t>1920×1080</t>
  </si>
  <si>
    <t>Bố cục đúng, không tràn ngang, không chồng lấn</t>
  </si>
  <si>
    <t>AssertionError: Có cuộn ngang ở 1920×1080</t>
  </si>
  <si>
    <t>Ảnh: results/screenshots/UI-01.png; Bug: BUG-27</t>
  </si>
  <si>
    <t>UI-02</t>
  </si>
  <si>
    <t>Responsive trên tablet 768×1024</t>
  </si>
  <si>
    <t>1. Dùng DevTools, đặt kích thước
2. Duyệt các trang chính</t>
  </si>
  <si>
    <t>768×1024</t>
  </si>
  <si>
    <t>Bố cục thích ứng; các nút bấm được</t>
  </si>
  <si>
    <t>UI-03</t>
  </si>
  <si>
    <t>Responsive và điều hướng trên mobile 375×667</t>
  </si>
  <si>
    <t>1. Dùng DevTools, đặt kích thước
2. Thử điều hướng tới Home / All / Men / Women / Shoes</t>
  </si>
  <si>
    <t>375×667</t>
  </si>
  <si>
    <t>Không cuộn ngang; vẫn điều hướng được (menu/sidebar)</t>
  </si>
  <si>
    <t>UI-04</t>
  </si>
  <si>
    <t>Dark mode trên các trang chính</t>
  </si>
  <si>
    <t>1. Bật dark mode
2. Mở Home, /allproducts, /login, /register, /cart, /checkout</t>
  </si>
  <si>
    <t>Light ↔ Dark</t>
  </si>
  <si>
    <t>Toàn bộ trang đổi theme; chữ đọc được, tương phản đủ</t>
  </si>
  <si>
    <t>UI-05</t>
  </si>
  <si>
    <t>Trang chủ: Carousel và khu vực sản phẩm</t>
  </si>
  <si>
    <t>1. Mở '/'
2. Quan sát Carousel và danh sách sản phẩm nổi bật</t>
  </si>
  <si>
    <t>Carousel chuyển/điều hướng được; hiển thị 8 sản phẩm từ /Homepage</t>
  </si>
  <si>
    <t>UI-06</t>
  </si>
  <si>
    <t>Điều hướng Navbar và Footer</t>
  </si>
  <si>
    <t>1. Bấm lần lượt các liên kết trên Navbar, logo, Footer</t>
  </si>
  <si>
    <t>Mỗi liên kết đưa tới đúng route (/, /allproducts, /men, /women, /shoes); không liên kết chết</t>
  </si>
  <si>
    <t>UI-07</t>
  </si>
  <si>
    <t>Ảnh sản phẩm không bị vỡ</t>
  </si>
  <si>
    <t>1. Duyệt các trang danh sách, chi tiết, giỏ, wishlist, admin
2. Kiểm tra naturalWidth của ảnh</t>
  </si>
  <si>
    <t>Tất cả ảnh tải được</t>
  </si>
  <si>
    <t>UI-08</t>
  </si>
  <si>
    <t>Tương thích trình duyệt</t>
  </si>
  <si>
    <t>1. Chạy luồng đăng nhập → thêm giỏ → mở checkout trên Chrome, Firefox, Edge</t>
  </si>
  <si>
    <t>Chrome, Firefox, Edge</t>
  </si>
  <si>
    <t>Kết quả giống nhau trên cả 3 trình duyệt</t>
  </si>
  <si>
    <t>UI-09</t>
  </si>
  <si>
    <t>Dừng mock-server khi đang dùng web</t>
  </si>
  <si>
    <t>Web đang chạy</t>
  </si>
  <si>
    <t>1. Tắt mock-server (cổng 3001)
2. Mở /allproducts</t>
  </si>
  <si>
    <t>Hiển thị thông báo lỗi thân thiện; không crash hoặc quay vô hạn</t>
  </si>
  <si>
    <t>UI-10</t>
  </si>
  <si>
    <t>Truy cập URL không tồn tại</t>
  </si>
  <si>
    <t>1. Mở /abc</t>
  </si>
  <si>
    <t>URL: /abc</t>
  </si>
  <si>
    <t>Hiển thị trang 404 thân thiện hoặc chuyển về trang chủ</t>
  </si>
  <si>
    <t>AssertionError: Trang trắng khi vào URL không tồn tại (nghi vấn BUG-11)</t>
  </si>
  <si>
    <t>Bug: BUG-11</t>
  </si>
  <si>
    <t>UI-11</t>
  </si>
  <si>
    <t>Hiệu năng tải trang (Lighthouse)</t>
  </si>
  <si>
    <t>Chạy bản build production</t>
  </si>
  <si>
    <t>1. Chạy Lighthouse (Chrome DevTools) cho '/' và /allproducts</t>
  </si>
  <si>
    <t>Chrome, chế độ Mobile</t>
  </si>
  <si>
    <t>Performance ≥ 70; LCP &lt; 2.5s (ghi nhận ảnh lớn như men.jpg ~3.9 MB)</t>
  </si>
  <si>
    <t>Endpoint</t>
  </si>
  <si>
    <t>Method</t>
  </si>
  <si>
    <t>Header / Tham số</t>
  </si>
  <si>
    <t>Body (JSON)</t>
  </si>
  <si>
    <t>Status mong đợi</t>
  </si>
  <si>
    <t>Kiểm tra (assertion)</t>
  </si>
  <si>
    <t>API-01</t>
  </si>
  <si>
    <t>/allproducts</t>
  </si>
  <si>
    <t>GET</t>
  </si>
  <si>
    <t>Lấy toàn bộ sản phẩm</t>
  </si>
  <si>
    <t>200</t>
  </si>
  <si>
    <t>Mảng 28 phần tử; có id, name, category, gender, colortype, sizes, rating, final_price, strike_price, images; Content-Type JSON; thời gian &lt; 500 ms</t>
  </si>
  <si>
    <t>Status 200
Là mảng 28 phần tử
Mỗi sản phẩm có đủ trường bắt buộc
Content-Type là JSON
Thời gian phản hồi &lt; 500 ms</t>
  </si>
  <si>
    <t>API-02</t>
  </si>
  <si>
    <t>/allproducts?category=shoes</t>
  </si>
  <si>
    <t>Lọc theo loại giày</t>
  </si>
  <si>
    <t>category=shoes</t>
  </si>
  <si>
    <t>16 phần tử; tất cả category = shoes</t>
  </si>
  <si>
    <t>Status 200
Là mảng 16 phần tử
Tất cả category = shoes
Thời gian phản hồi &lt; 500 ms</t>
  </si>
  <si>
    <t>API-03</t>
  </si>
  <si>
    <t>/allproducts?gender=MEN</t>
  </si>
  <si>
    <t>Lọc theo giới tính</t>
  </si>
  <si>
    <t>gender=MEN</t>
  </si>
  <si>
    <t>14 phần tử; tất cả gender = MEN</t>
  </si>
  <si>
    <t>Status 200
Là mảng 14 phần tử
Tất cả gender = MEN
Thời gian phản hồi &lt; 500 ms</t>
  </si>
  <si>
    <t>API-04</t>
  </si>
  <si>
    <t>/allproducts?colortype=black</t>
  </si>
  <si>
    <t>colortype=black</t>
  </si>
  <si>
    <t>7 phần tử; tất cả colortype = black</t>
  </si>
  <si>
    <t>Status 200
Là mảng 7 phần tử
Tất cả colortype = black
Thời gian phản hồi &lt; 500 ms</t>
  </si>
  <si>
    <t>API-05</t>
  </si>
  <si>
    <t>/allproducts?colortype=red&amp;colortype=blue</t>
  </si>
  <si>
    <t>Lọc nhiều màu</t>
  </si>
  <si>
    <t>colortype=red&amp;colortype=blue</t>
  </si>
  <si>
    <t>14 phần tử; colortype thuộc {red, blue}</t>
  </si>
  <si>
    <t>Status 200
Là mảng 14 phần tử
colortype thuộc {red, blue}
Thời gian phản hồi &lt; 500 ms</t>
  </si>
  <si>
    <t>API-06</t>
  </si>
  <si>
    <t>/allproducts?category=shoes&amp;gender=WOMEN&amp;colortype=white</t>
  </si>
  <si>
    <t>Kết hợp 3 bộ lọc</t>
  </si>
  <si>
    <t>category, gender, colortype</t>
  </si>
  <si>
    <t>2 phần tử khớp cả 3 điều kiện</t>
  </si>
  <si>
    <t>Status 200
Là mảng 2 phần tử
Khớp cả 3 điều kiện
Thời gian phản hồi &lt; 500 ms</t>
  </si>
  <si>
    <t>API-07</t>
  </si>
  <si>
    <t>/allproducts?sizes=small</t>
  </si>
  <si>
    <t>Lọc theo size (trường mảng)</t>
  </si>
  <si>
    <t>sizes=small</t>
  </si>
  <si>
    <t>12 phần tử; mỗi phần tử có 'small' trong sizes</t>
  </si>
  <si>
    <t>Status 200
Là mảng 12 phần tử
Mỗi sản phẩm có size small
Thời gian phản hồi &lt; 500 ms</t>
  </si>
  <si>
    <t>API-08</t>
  </si>
  <si>
    <t>/allproducts?_sort=rating&amp;_order=desc</t>
  </si>
  <si>
    <t>Sắp xếp rating giảm dần</t>
  </si>
  <si>
    <t>_sort=rating&amp;_order=desc</t>
  </si>
  <si>
    <t>Mảng có rating không tăng; số phần tử không đổi</t>
  </si>
  <si>
    <t>Status 200
Là mảng 28 phần tử
Rating giảm dần
Thời gian phản hồi &lt; 500 ms</t>
  </si>
  <si>
    <t>API-09</t>
  </si>
  <si>
    <t>/allproducts?category=xyz</t>
  </si>
  <si>
    <t>Giá trị lọc không tồn tại</t>
  </si>
  <si>
    <t>category=xyz</t>
  </si>
  <si>
    <t>Mảng rỗng []; không lỗi 500</t>
  </si>
  <si>
    <t>Status 200
Trả mảng rỗng
Thời gian phản hồi &lt; 500 ms</t>
  </si>
  <si>
    <t>API-10</t>
  </si>
  <si>
    <t>/allproducts/1</t>
  </si>
  <si>
    <t>Lấy 1 sản phẩm theo id</t>
  </si>
  <si>
    <t>name = 'Air Runner M'; final_price = 1873</t>
  </si>
  <si>
    <t>Status 200
name = Air Runner M
final_price = 1873
Thời gian phản hồi &lt; 500 ms</t>
  </si>
  <si>
    <t>API-11</t>
  </si>
  <si>
    <t>/allproducts/9999</t>
  </si>
  <si>
    <t>Sản phẩm không tồn tại</t>
  </si>
  <si>
    <t>404</t>
  </si>
  <si>
    <t>Trả 404; không lỗi 500</t>
  </si>
  <si>
    <t>Status 404</t>
  </si>
  <si>
    <t>API-12</t>
  </si>
  <si>
    <t>/Homepage</t>
  </si>
  <si>
    <t>Danh sách sản phẩm trang chủ</t>
  </si>
  <si>
    <t>Mảng 8 phần tử</t>
  </si>
  <si>
    <t>Status 200
Là mảng 8 phần tử
Thời gian phản hồi &lt; 500 ms</t>
  </si>
  <si>
    <t>API-13</t>
  </si>
  <si>
    <t>/auth/signup</t>
  </si>
  <si>
    <t>POST</t>
  </si>
  <si>
    <t>Đăng ký hợp lệ</t>
  </si>
  <si>
    <t>Content-Type: application/json</t>
  </si>
  <si>
    <t>{"name":"Nguyen","username":"nguyen01","email":"nguyen01@example.com","password":"Abc#1234","mobile":"0912345678"}</t>
  </si>
  <si>
    <t>201</t>
  </si>
  <si>
    <t>body.msg = "signup successfully"; db.json có user mới (đổi email mỗi lần chạy)</t>
  </si>
  <si>
    <t>Status 201
msg = "signup successfully"</t>
  </si>
  <si>
    <t>API-14</t>
  </si>
  <si>
    <t>Thiếu tên</t>
  </si>
  <si>
    <t>{"email":"a@example.com","password":"Abc#1234"}</t>
  </si>
  <si>
    <t>400</t>
  </si>
  <si>
    <t>body.msg = "Please fill name, email and password"</t>
  </si>
  <si>
    <t>Status 400
Thông báo thiếu thông tin</t>
  </si>
  <si>
    <t>API-15</t>
  </si>
  <si>
    <t>Thiếu mật khẩu</t>
  </si>
  <si>
    <t>{"name":"An","email":"a@example.com"}</t>
  </si>
  <si>
    <t>API-16</t>
  </si>
  <si>
    <t>Email đã tồn tại</t>
  </si>
  <si>
    <t>{"name":"Test","email":"test@example.com","password":"Abc#1234"}</t>
  </si>
  <si>
    <t>409</t>
  </si>
  <si>
    <t>body.msg = "User already exists"</t>
  </si>
  <si>
    <t>Status 409
msg = "User already exists"</t>
  </si>
  <si>
    <t>API-17</t>
  </si>
  <si>
    <t>Mật khẩu yếu và email sai định dạng (kiểm tra validate phía server)</t>
  </si>
  <si>
    <t>{"name":"An","email":"abc","password":"1"}</t>
  </si>
  <si>
    <t>Server từ chối dữ liệu không hợp lệ (không chỉ dựa vào validate ở giao diện)</t>
  </si>
  <si>
    <t>[BUG-nghi vấn] Server từ chối dữ liệu không hợp lệ (400) | AssertionError: expected 201 to deeply equal 400</t>
  </si>
  <si>
    <t>API-18</t>
  </si>
  <si>
    <t>/auth/login</t>
  </si>
  <si>
    <t>Đăng nhập hợp lệ</t>
  </si>
  <si>
    <t>{"email":"test@example.com","password":"123456"}</t>
  </si>
  <si>
    <t>body.msg = "login successfully"; body.token là chuỗi không rỗng</t>
  </si>
  <si>
    <t>Status 200
msg = "login successfully"
Có token không rỗng
Thời gian phản hồi &lt; 500 ms</t>
  </si>
  <si>
    <t>API-19</t>
  </si>
  <si>
    <t>Sai mật khẩu</t>
  </si>
  <si>
    <t>{"email":"test@example.com","password":"sai"}</t>
  </si>
  <si>
    <t>401</t>
  </si>
  <si>
    <t>body.msg = "Wrong email or password"; không có token</t>
  </si>
  <si>
    <t>Status 401
Thông báo sai thông tin
Không trả token</t>
  </si>
  <si>
    <t>API-20</t>
  </si>
  <si>
    <t>Email không tồn tại</t>
  </si>
  <si>
    <t>{"email":"khongco@example.com","password":"123456"}</t>
  </si>
  <si>
    <t>body.msg = "Wrong email or password"</t>
  </si>
  <si>
    <t>Status 401
Thông báo sai thông tin</t>
  </si>
  <si>
    <t>API-21</t>
  </si>
  <si>
    <t>Body rỗng</t>
  </si>
  <si>
    <t>{}</t>
  </si>
  <si>
    <t>Không lỗi 500; không có token</t>
  </si>
  <si>
    <t>Status 401, không lỗi 500
Không trả token</t>
  </si>
  <si>
    <t>API-22</t>
  </si>
  <si>
    <t>Email là object (injection kiểu NoSQL)</t>
  </si>
  <si>
    <t>{"email":{"$ne":null},"password":"x"}</t>
  </si>
  <si>
    <t>Không đăng nhập được; server không crash (không 500)</t>
  </si>
  <si>
    <t>Không đăng nhập được, không lỗi 500</t>
  </si>
  <si>
    <t>API-23</t>
  </si>
  <si>
    <t>/auth/test@example.com</t>
  </si>
  <si>
    <t>Lấy hồ sơ không kèm Authorization</t>
  </si>
  <si>
    <t>(không có header Authorization)</t>
  </si>
  <si>
    <t>Server yêu cầu xác thực</t>
  </si>
  <si>
    <t>[BUG-03] Yêu cầu xác thực → 401 | AssertionError: expected 200 to deeply equal 401</t>
  </si>
  <si>
    <t>Gợi ý: liên quan BUG-03 (nghi vấn)</t>
  </si>
  <si>
    <t>API-24</t>
  </si>
  <si>
    <t>Lấy hồ sơ kèm token hợp lệ</t>
  </si>
  <si>
    <t>Authorization: Bearer {token từ API-18}</t>
  </si>
  <si>
    <t>Có name, email, mobile; KHÔNG có trường password</t>
  </si>
  <si>
    <t>Status 200
Có name, email, mobile
Không có trường password</t>
  </si>
  <si>
    <t>API-25</t>
  </si>
  <si>
    <t>/users</t>
  </si>
  <si>
    <t>Kiểm tra lộ danh sách người dùng</t>
  </si>
  <si>
    <t>(không header)</t>
  </si>
  <si>
    <t>401/403/404</t>
  </si>
  <si>
    <t>Không trả danh sách người dùng; không lộ password</t>
  </si>
  <si>
    <t>[BUG-02] Không lộ danh sách người dùng (401/403/404) | AssertionError: expected [ 401, 403, 404 ] to include 200
[BUG-02] Không có trường password trong phản hồi | AssertionError: expected true to deeply equal false</t>
  </si>
  <si>
    <t>Gợi ý: liên quan BUG-02 (nghi vấn)</t>
  </si>
  <si>
    <t>API-26</t>
  </si>
  <si>
    <t>Tạo sản phẩm khi không xác thực</t>
  </si>
  <si>
    <t>{"name":"Test Product","category":"shoes","gender":"MEN","final_price":1000,"strike_price":1500,"sizes":["8"],"images":[]}</t>
  </si>
  <si>
    <t>401/403</t>
  </si>
  <si>
    <t>Server từ chối (dùng bản ghi test, xóa sau khi kiểm tra)</t>
  </si>
  <si>
    <t>[BUG-05] Server từ chối tạo sản phẩm khi chưa xác thực (401/403) | AssertionError: expected [ 401, 403 ] to in</t>
  </si>
  <si>
    <t>Gợi ý: liên quan BUG-05 (nghi vấn)</t>
  </si>
  <si>
    <t>API-27</t>
  </si>
  <si>
    <t>/allproducts/{id_test}</t>
  </si>
  <si>
    <t>PATCH</t>
  </si>
  <si>
    <t>Sửa sản phẩm khi không xác thực</t>
  </si>
  <si>
    <t>{"name":"Hacked"}</t>
  </si>
  <si>
    <t>Server từ chối (chỉ thao tác trên bản ghi test)</t>
  </si>
  <si>
    <t>[BUG-05] Server từ chối sửa khi chưa xác thực (401/403) | AssertionError: expected [ 401, 403 ] to include 200</t>
  </si>
  <si>
    <t>API-28</t>
  </si>
  <si>
    <t>DELETE</t>
  </si>
  <si>
    <t>Xóa sản phẩm khi không xác thực</t>
  </si>
  <si>
    <t>[BUG-05] Server từ chối xóa khi chưa xác thực (401/403) | AssertionError: expected [ 401, 403 ] to include 20</t>
  </si>
  <si>
    <t>API-29</t>
  </si>
  <si>
    <t>Kiểm tra định dạng token</t>
  </si>
  <si>
    <t>Token không giải mã Base64 ra 'email:timestamp'; có chữ ký/thời hạn (ví dụ JWT)</t>
  </si>
  <si>
    <t>[BUG-17] Token không phải Base64 của 'email:timestamp' | AssertionError: expected 'test@example.com:179256</t>
  </si>
  <si>
    <t>Gợi ý: liên quan BUG-17 (nghi vấn)</t>
  </si>
  <si>
    <t>API-30</t>
  </si>
  <si>
    <t>/photos/giay1.jpg</t>
  </si>
  <si>
    <t>Tải ảnh tĩnh</t>
  </si>
  <si>
    <t>Content-Type image/jpeg; kích thước &gt; 0</t>
  </si>
  <si>
    <t>Status 200
Content-Type là ảnh jpeg
Kích thước &gt; 0</t>
  </si>
  <si>
    <t>Bug ID</t>
  </si>
  <si>
    <t>Test Case ID</t>
  </si>
  <si>
    <t>Tiêu đề</t>
  </si>
  <si>
    <t>Các bước tái hiện</t>
  </si>
  <si>
    <t>Độ ưu tiên</t>
  </si>
  <si>
    <t>File mã nguồn liên quan</t>
  </si>
  <si>
    <t>Bằng chứng (ảnh/log)</t>
  </si>
  <si>
    <t>Ngày phát hiện</t>
  </si>
  <si>
    <t>Người ghi nhận</t>
  </si>
  <si>
    <t>BUG-01</t>
  </si>
  <si>
    <t>Mật khẩu không có chữ hoa vẫn được chấp nhận</t>
  </si>
  <si>
    <t>1. Mở /register
2. Nhập mật khẩu 'abc#1234' cùng các trường hợp lệ khác
3. Bấm Sign up</t>
  </si>
  <si>
    <t>Báo lỗi 'at least one upper case', không cho đăng ký</t>
  </si>
  <si>
    <t>Không có thông báo lỗi chữ hoa; mật khẩu 'abc#1234' vượt qua bước kiểm tra mật khẩu (Selenium REG-09 Fail). Điều kiện kiểm tra chữ thường cũng lỗi tương tự (/[a-z]/i): 'ABC#1234' không bị báo thiếu chữ thường.</t>
  </si>
  <si>
    <t>High</t>
  </si>
  <si>
    <t>src/components/Other/CheckProperty.jsx (checkPassword: regex /[A-Z]/i có cờ i nên khớp cả chữ thường)</t>
  </si>
  <si>
    <t>Unit test CheckProperty.test.js: checkPassword('abc#1234') trả status = true (Pass) – log Jest
Selenium: results/screenshots/REG-09.png</t>
  </si>
  <si>
    <t>28/10/2026</t>
  </si>
  <si>
    <t>BUG-02</t>
  </si>
  <si>
    <t>API / Bảo mật</t>
  </si>
  <si>
    <t>GET /users trả về toàn bộ người dùng kèm mật khẩu dạng plaintext</t>
  </si>
  <si>
    <t>1. Gửi GET http://localhost:3001/users (không header)
2. Xem body</t>
  </si>
  <si>
    <t>401/403/404; không bao giờ lộ mật khẩu</t>
  </si>
  <si>
    <t>GET /users trả 200 kèm danh sách user và mật khẩu plaintext</t>
  </si>
  <si>
    <t>mock-server/server.js (server.use(router) mở mọi collection); db.json lưu password plaintext</t>
  </si>
  <si>
    <t>BUG-03</t>
  </si>
  <si>
    <t>GET /auth/:email không kiểm tra Authorization</t>
  </si>
  <si>
    <t>1. Gửi GET /auth/test@example.com không kèm header Authorization</t>
  </si>
  <si>
    <t>401 Unauthorized</t>
  </si>
  <si>
    <t>GET /auth/test@example.com trả 200 khi không có Authorization</t>
  </si>
  <si>
    <t>mock-server/server.js (route /auth/:email không đọc token)</t>
  </si>
  <si>
    <t>BUG-04</t>
  </si>
  <si>
    <t>Admin / Phân quyền</t>
  </si>
  <si>
    <t>Người dùng thường truy cập được trang /admin</t>
  </si>
  <si>
    <t>1. Đăng nhập test@example.com / 123456
2. Mở trực tiếp /admin</t>
  </si>
  <si>
    <t>Bị chặn / chuyển hướng (chỉ admin được vào)</t>
  </si>
  <si>
    <t>Vẫn ở lại http://localhost:3000/admin và thấy danh sách 28 sản phẩm cùng nút sửa/xóa (Selenium ADM-02 Fail). Route chỉ kiểm tra đã đăng nhập, không kiểm tra vai trò.</t>
  </si>
  <si>
    <t>src/AllRoutes/AllRoutes.jsx; src/PrivateRoute/Authentication.jsx (chỉ kiểm tra isAuth, không có vai trò)</t>
  </si>
  <si>
    <t>results/screenshots/ADM-02.png</t>
  </si>
  <si>
    <t>BUG-05</t>
  </si>
  <si>
    <t>API-26, API-27, API-28</t>
  </si>
  <si>
    <t>Thêm / sửa / xóa sản phẩm qua API không cần xác thực</t>
  </si>
  <si>
    <t>1. POST /allproducts với body sản phẩm test
2. PATCH /allproducts/{id} đổi tên
3. DELETE /allproducts/{id}
(chỉ thao tác trên bản ghi test vừa tạo)</t>
  </si>
  <si>
    <t>401/403 khi không có token quản trị</t>
  </si>
  <si>
    <t>POST, PATCH, DELETE /allproducts đều thành công khi không có token</t>
  </si>
  <si>
    <t>mock-server/server.js (json-server router không có middleware xác thực)</t>
  </si>
  <si>
    <t>BUG-06</t>
  </si>
  <si>
    <t>Số tiền trong popup Razorpay lệch đơn vị so với giá hiển thị (VND)</t>
  </si>
  <si>
    <t>1. Thêm sản phẩm vào giỏ, vào /checkout
2. Điền form hợp lệ, bấm đặt hàng
3. So sánh số tiền trong popup với TOTAL trên trang</t>
  </si>
  <si>
    <t>Số tiền thanh toán khớp TOTAL hiển thị (cùng đơn vị tiền)</t>
  </si>
  <si>
    <t>(Điền sau khi tái hiện)</t>
  </si>
  <si>
    <t>Nghi vấn - cần xác minh</t>
  </si>
  <si>
    <t>src/Pages/Checkout.jsx (truyền total_discount tính theo INR gốc); src/components/rozarpay/RozarPay.jsx (amount*100, currency INR)</t>
  </si>
  <si>
    <t>BUG-07</t>
  </si>
  <si>
    <t>Popup Razorpay prefill tên sai (undefined undefined)</t>
  </si>
  <si>
    <t>1. Điền First Name 'An', Last Name 'Nguyen'
2. Mở popup Razorpay, xem trường tên</t>
  </si>
  <si>
    <t>Tên hiển thị 'An Nguyen'</t>
  </si>
  <si>
    <t>Medium</t>
  </si>
  <si>
    <t>src/components/rozarpay/RozarPay.jsx (destructure firstname/lastname trong khi form dùng firstName/lastName)</t>
  </si>
  <si>
    <t>BUG-08</t>
  </si>
  <si>
    <t>Bảo mật mã nguồn</t>
  </si>
  <si>
    <t>Tài khoản admin và key Razorpay bị hardcode trong mã nguồn</t>
  </si>
  <si>
    <t>1. Mở Login.jsx và RozarPay.jsx
2. Tìm email/mật khẩu admin và key rzp_test_...</t>
  </si>
  <si>
    <t>Thông tin nhạy cảm nằm trong biến môi trường / backend, không nằm trong source</t>
  </si>
  <si>
    <t>src/Pages/Login.jsx; src/components/rozarpay/RozarPay.jsx (SonarQube: security hotspot / vulnerability)</t>
  </si>
  <si>
    <t>SonarQube: Security issues = 0, không phát hiện. Phát hiện bằng đọc mã: Login.jsx L41, RozarPay.jsx L34</t>
  </si>
  <si>
    <t>BUG-09</t>
  </si>
  <si>
    <t>CART-09, WL-06</t>
  </si>
  <si>
    <t>Giỏ hàng và danh sách yêu thích bị mất khi tải lại trang</t>
  </si>
  <si>
    <t>1. Thêm sản phẩm vào giỏ và vào danh sách yêu thích (cần đăng nhập)
2. Nhấn F5 ở /cart
3. Nhấn F5 ở /wishlist</t>
  </si>
  <si>
    <t>Giỏ hàng và wishlist vẫn giữ nguyên sau khi tải lại</t>
  </si>
  <si>
    <t>Giỏ hàng rỗng sau F5 (CART-09: 0 dòng thay vì 1); wishlist không còn sản phẩm (WL-06 Fail). Hai trạng thái chỉ nằm trong Redux, không lưu localStorage hay API.</t>
  </si>
  <si>
    <t>src/redux/store.js; src/redux/CartReducer/reducer.js; src/redux/WishReducer (không persist)</t>
  </si>
  <si>
    <t>results/screenshots/CART-09.png; results/screenshots/WL-06.png</t>
  </si>
  <si>
    <t>BUG-10</t>
  </si>
  <si>
    <t>Checkout / Đặt hàng</t>
  </si>
  <si>
    <t>Đơn hàng không được lưu sau khi thanh toán</t>
  </si>
  <si>
    <t>1. Thanh toán thành công bằng thẻ test
2. Kiểm tra db.json / API</t>
  </si>
  <si>
    <t>Có bản ghi đơn hàng (và lịch sử đơn của người dùng)</t>
  </si>
  <si>
    <t>src/components/rozarpay/RozarPay.jsx; mock-server/server.js (không có collection orders)</t>
  </si>
  <si>
    <t>BUG-11</t>
  </si>
  <si>
    <t>Truy cập URL không tồn tại hiển thị trang trắng</t>
  </si>
  <si>
    <t>1. Mở http://localhost:3000/abc</t>
  </si>
  <si>
    <t>Trang 404 thân thiện hoặc chuyển về trang chủ</t>
  </si>
  <si>
    <t>Phần thân trang trắng hoàn toàn, chỉ hiển thị footer; không có trang 404 và không chuyển hướng (Selenium UI-10 Fail, đã xác nhận thủ công).</t>
  </si>
  <si>
    <t>Low</t>
  </si>
  <si>
    <t>src/AllRoutes/AllRoutes.jsx (không có route path='*')</t>
  </si>
  <si>
    <t>results/screenshots/UI-10.png</t>
  </si>
  <si>
    <t>BUG-12</t>
  </si>
  <si>
    <t>Bấm Sign in khi để trống không có phản hồi nào</t>
  </si>
  <si>
    <t>1. Mở /login, để trống Email hoặc Password
2. Bấm Sign in</t>
  </si>
  <si>
    <t>Hiển thị thông báo yêu cầu nhập đủ thông tin</t>
  </si>
  <si>
    <t>Không có toast hay thông báo nào; form không phản hồi (Selenium LOG-04 Fail). loginHandler chỉ có nhánh admin và nhánh 'email &amp;&amp; password', không có else.</t>
  </si>
  <si>
    <t>src/Pages/Login.jsx (loginHandler không có nhánh else)</t>
  </si>
  <si>
    <t>results/screenshots/LOG-04.png</t>
  </si>
  <si>
    <t>BUG-13</t>
  </si>
  <si>
    <t>Đăng nhập sai có thể hiện thêm toast rỗng / trùng</t>
  </si>
  <si>
    <t>1. Đăng nhập với mật khẩu sai
2. Đếm số toast xuất hiện</t>
  </si>
  <si>
    <t>Chỉ 1 toast 'Wrong email or password'</t>
  </si>
  <si>
    <t>Chỉ xuất hiện đúng 1 toast 'Wrong email or password' (Selenium LOG-02 Pass). Không tái hiện được lỗi toast trùng/rỗng.</t>
  </si>
  <si>
    <t>Không phải lỗi</t>
  </si>
  <si>
    <t>src/redux/AuthReducer/action.js (catch trả về action lỗi); src/Pages/Login.jsx (đọc res.payload.msg)</t>
  </si>
  <si>
    <t>Selenium LOG-02: Pass</t>
  </si>
  <si>
    <t>BUG-14</t>
  </si>
  <si>
    <t>REG-12, CO-09</t>
  </si>
  <si>
    <t>Validate dữ liệu</t>
  </si>
  <si>
    <t>Hàm kiểm tra SĐT / mã bưu điện chỉ kiểm tra độ dài (UI chặn chữ cái nhờ ô type=number)</t>
  </si>
  <si>
    <t>1. Nhập SĐT '09123abcde' hoặc Pin Code '12ab56'
2. Gửi form</t>
  </si>
  <si>
    <t>Trên giao diện: gõ '09123abcde' hoặc '12ab56' đều bị chặn/báo lỗi vì ô type=number loại bỏ chữ cái (Selenium REG-12, CO-09 Pass). Hàm checkMobile/checkPinCode vẫn chỉ kiểm tra độ dài (Jest). Cần thử thủ công chuỗi hợp lệ dạng số mũ như '091234e567' để xem có lọt qua không.</t>
  </si>
  <si>
    <t>src/components/Other/CheckProperty.jsx (checkMobile, checkPinCode)</t>
  </si>
  <si>
    <t>Unit test CheckProperty.test.js: checkMobile('09123abcde') trả status = true (Pass) – log Jest
Selenium: REG-12, CO-09 Pass</t>
  </si>
  <si>
    <t>BUG-15</t>
  </si>
  <si>
    <t>Checkout</t>
  </si>
  <si>
    <t>Có thể thanh toán khi giỏ hàng trống</t>
  </si>
  <si>
    <t>1. Đăng nhập, để giỏ trống
2. Mở /checkout, điền form hợp lệ, đặt hàng</t>
  </si>
  <si>
    <t>Bị chặn hoặc chuyển về /cart</t>
  </si>
  <si>
    <t>src/Pages/Checkout.jsx (không kiểm tra cart.length)</t>
  </si>
  <si>
    <t>BUG-16</t>
  </si>
  <si>
    <t>Tìm kiếm</t>
  </si>
  <si>
    <t>Không có chức năng tìm kiếm sản phẩm theo từ khóa</t>
  </si>
  <si>
    <t>1. Quan sát Navbar và các trang danh sách</t>
  </si>
  <si>
    <t>Có ô tìm kiếm theo tên sản phẩm</t>
  </si>
  <si>
    <t>src/components/Navbar/Navbar.jsx (icon BsSearch đang bị comment)</t>
  </si>
  <si>
    <t>BUG-17</t>
  </si>
  <si>
    <t>Token đăng nhập là Base64 của 'email:timestamp', dễ đoán/giả mạo</t>
  </si>
  <si>
    <t>1. Đăng nhập, copy token
2. Giải mã Base64</t>
  </si>
  <si>
    <t>Token ngẫu nhiên có chữ ký và thời hạn (ví dụ JWT)</t>
  </si>
  <si>
    <t>Token giải mã ra email:timestamp</t>
  </si>
  <si>
    <t>mock-server/server.js (hàm makeToken)</t>
  </si>
  <si>
    <t>BUG-18</t>
  </si>
  <si>
    <t>Admin</t>
  </si>
  <si>
    <t>Admin đặt giá bán cao hơn giá gốc, giá gốc gạch ngang thấp hơn giá bán</t>
  </si>
  <si>
    <t>1. Sửa sản phẩm id=1, Price = 5000000
2. Xem trang chi tiết</t>
  </si>
  <si>
    <t>Cảnh báo/ràng buộc giá bán ≤ giá gốc hoặc cập nhật cả giá gốc</t>
  </si>
  <si>
    <t>src/Admin/AdminModal.jsx (chỉ cập nhật final_price)</t>
  </si>
  <si>
    <t>BUG-19</t>
  </si>
  <si>
    <t>FIL-09, FIL-11</t>
  </si>
  <si>
    <t>Lọc sản phẩm</t>
  </si>
  <si>
    <t>Bộ lọc Size không hiển thị trên giao diện (khối mã bị comment)</t>
  </si>
  <si>
    <t>1. Mở /allproducts hoặc /shoes
2. Xem các mục lọc trong sidebar</t>
  </si>
  <si>
    <t>Có mục lọc Size; với giày có các size 6–10</t>
  </si>
  <si>
    <t>Chỉ có Category, Color, Gender, Rating; không có mục Size (Selenium không tìm thấy nút 'Size', FIL-09 chuyển Skip). Nếu bật lại khối mã, bộ lọc cũng chỉ có small/medium/large, không có size giày.</t>
  </si>
  <si>
    <t>src/Filter/Filters/FilterData.jsx (khối AccordionItem 'Size' nằm trong comment; chỉ có small/medium/large)</t>
  </si>
  <si>
    <t>Selenium FIL-09 (lần chạy đầu: NoSuchElement khi tìm nút 'Size')</t>
  </si>
  <si>
    <t>BUG-20</t>
  </si>
  <si>
    <t>API / Validate dữ liệu</t>
  </si>
  <si>
    <t>Server đăng ký chấp nhận email sai định dạng và mật khẩu yếu</t>
  </si>
  <si>
    <t>POST /auth/signup với body {"name":"An","email":"abc","password":"1"}</t>
  </si>
  <si>
    <t>400, server từ chối dữ liệu không hợp lệ</t>
  </si>
  <si>
    <t>201 Created, tài khoản được tạo</t>
  </si>
  <si>
    <t>mock-server/server.js (route /auth/signup chỉ kiểm tra thiếu trường)</t>
  </si>
  <si>
    <t>BUG-21</t>
  </si>
  <si>
    <t>SonarQube</t>
  </si>
  <si>
    <t>Mã nguồn / SonarQube</t>
  </si>
  <si>
    <t>Regex kiểm tra email có nguy cơ backtracking (ReDoS)</t>
  </si>
  <si>
    <t>1. Chạy SonarQube quét dự án Sports-K
2. Mở Issues &gt; Reliability, file CheckProperty.jsx, dòng 44</t>
  </si>
  <si>
    <t>Regex kiểm tra email chạy thời gian tuyến tính, không bị backtracking. Đề xuất: /^[^\s@]+@[^\s@]+\.[^\s@]+$/</t>
  </si>
  <si>
    <t>SonarQube cảnh báo (Reliability, Medium): regex /\S+@\S+\.\S+/ có hiệu năng siêu tuyến tính do backtracking</t>
  </si>
  <si>
    <t>src/components/Other/CheckProperty.jsx (dòng 44, hàm checkEmail)</t>
  </si>
  <si>
    <t>SonarQube &gt; Issues &gt; CheckProperty.jsx L44 (ảnh: evidence/sonar-regex.png)</t>
  </si>
  <si>
    <t>21/10/2026</t>
  </si>
  <si>
    <t>BUG-22</t>
  </si>
  <si>
    <t>UI-01, UI-03</t>
  </si>
  <si>
    <t>Giao diện / Responsive</t>
  </si>
  <si>
    <t>Footer dùng điều kiện responsive nhưng hai nhánh cùng giá trị 50vh</t>
  </si>
  <si>
    <t>1. Mở SonarQube &gt; Issues &gt; Footer.jsx dòng 21
2. Hoặc xem mã: height={isSmallerThan ? "50vh" : "50vh"}
3. Thu nhỏ cửa sổ về 375px, quan sát Footer</t>
  </si>
  <si>
    <t>Chiều cao Footer khác nhau giữa màn hình nhỏ và lớn (hoặc bỏ điều kiện thừa)</t>
  </si>
  <si>
    <t>SonarQube cảnh báo điều kiện trả về cùng giá trị; Footer luôn cao 50vh. Cần xác minh ảnh hưởng hiển thị trên mobile ở UI-03</t>
  </si>
  <si>
    <t>src/components/Footer/Footer.jsx (dòng 21)</t>
  </si>
  <si>
    <t>SonarQube &gt; Issues &gt; Footer.jsx L21 (ảnh: evidence/sonar-footer.png)</t>
  </si>
  <si>
    <t>BUG-23</t>
  </si>
  <si>
    <t>Mã nguồn / Xử lý lỗi bất đồng bộ</t>
  </si>
  <si>
    <t>Promise không được xử lý lỗi (.catch / await) tại 7 vị trí</t>
  </si>
  <si>
    <t>1. Chạy SonarQube quét dự án
2. Mở Issues &gt; Reliability, lọc rule 'Promises must be awaited...'</t>
  </si>
  <si>
    <t>Mọi promise có .catch() hoặc await trong try/catch. Ở logout, bỏ new Promise thừa vì localStorage.removeItem là đồng bộ</t>
  </si>
  <si>
    <t>7 cảnh báo (Medium): AdminNavbar.jsx L11; Profile.jsx L47; Checkout.jsx L83; RozarPay.jsx L43, L50, L57; reportWebVitals.js L3. Khi promise bị lỗi sẽ thành unhandled rejection</t>
  </si>
  <si>
    <t>src/Admin/AdminNavbar.jsx; src/components/Profile/Profile.jsx; src/Pages/Checkout.jsx; src/components/rozarpay/RozarPay.jsx; src/reportWebVitals.js</t>
  </si>
  <si>
    <t>SonarQube &gt; Issues &gt; rule 'Promises must be awaited' (ảnh: evidence/sonar-promise.png)</t>
  </si>
  <si>
    <t>BUG-24</t>
  </si>
  <si>
    <t>Mã nguồn / Đặt tên</t>
  </si>
  <si>
    <t>Component Error.jsx đặt tên trùng đối tượng Error có sẵn của JavaScript</t>
  </si>
  <si>
    <t>1. Chạy SonarQube quét dự án
2. Mở Issues &gt; Reliability, file Error.jsx, dòng 4</t>
  </si>
  <si>
    <t>Đặt tên khác, ví dụ ErrorPage, để không che đối tượng Error toàn cục</t>
  </si>
  <si>
    <t>SonarQube cảnh báo (Medium): 'Do not use "Error" to declare a variable'</t>
  </si>
  <si>
    <t>src/components/Loading/Error.jsx (dòng 4)</t>
  </si>
  <si>
    <t>SonarQube &gt; Issues &gt; Error.jsx L4 (ảnh: evidence/sonar-error.png)</t>
  </si>
  <si>
    <t>BUG-25</t>
  </si>
  <si>
    <t>Nhập mã giảm giá sai không có thông báo nào</t>
  </si>
  <si>
    <t>1. Đăng nhập, thêm sản phẩm vào giỏ, vào /checkout
2. Nhập 'abc123' vào ô Promo Code
3. Bấm nút +</t>
  </si>
  <si>
    <t>Thông báo mã không hợp lệ; DISCOUNT = 0</t>
  </si>
  <si>
    <t>Không có toast; ô nhập vẫn ở trạng thái cũ, người dùng không biết mã sai (Selenium CPN-03 Fail).</t>
  </si>
  <si>
    <t>src/components/InputCoupon/InputCoupon.jsx (handleOnCoupon: chuỗi if / else-if theo từng mã, không có nhánh else)</t>
  </si>
  <si>
    <t>results/screenshots/CPN-03.png</t>
  </si>
  <si>
    <t>BUG-26</t>
  </si>
  <si>
    <t>CPN-04, CPN-05</t>
  </si>
  <si>
    <t>Mã giảm giá phân biệt chữ hoa/thường và không bỏ khoảng trắng đầu/cuối</t>
  </si>
  <si>
    <t>1. Vào /checkout với giỏ có hàng
2. Nhập 'FAMILY10' (hoặc 'family10 ' có khoảng trắng cuối)
3. Bấm nút +</t>
  </si>
  <si>
    <t>Mã được chấp nhận sau khi chuẩn hóa (không phân biệt hoa/thường, bỏ khoảng trắng)</t>
  </si>
  <si>
    <t>Cả hai trường hợp đều không được áp dụng và cũng không có thông báo lỗi (Selenium CPN-04, CPN-05 Fail). Mã 'family10' viết thường chuẩn thì áp dụng đúng.</t>
  </si>
  <si>
    <t>src/components/InputCoupon/InputCoupon.jsx (so sánh input === "family10"... không toLowerCase/trim)</t>
  </si>
  <si>
    <t>results/screenshots/CPN-04.png; results/screenshots/CPN-05.png</t>
  </si>
  <si>
    <t>BUG-27</t>
  </si>
  <si>
    <t>Trang giỏ hàng (/cart) bị cuộn ngang ở màn hình 1920×1080</t>
  </si>
  <si>
    <t>1. Đặt cửa sổ trình duyệt 1920×1080
2. Mở http://localhost:3000/cart (giỏ hàng trống)
3. Quan sát thanh cuộn ngang</t>
  </si>
  <si>
    <t>Bố cục vừa khung, không tràn ngang</t>
  </si>
  <si>
    <t>Xuất hiện thanh cuộn ngang (scrollWidth &gt; innerWidth). Trang chủ và /allproducts không bị (Selenium UI-01[/cart] Fail, đã xác nhận thủ công).</t>
  </si>
  <si>
    <t>src/Pages/Cart.jsx và các component con (chưa xác định phần tử gây tràn; cần kiểm tra bằng DevTools)</t>
  </si>
  <si>
    <t>results/screenshots/UI-01.png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</si>
</sst>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4"/>
      <color rgb="FF1F3864"/>
      <name val="Arial"/>
      <charset val="1"/>
    </font>
    <font>
      <sz val="10"/>
      <name val="Arial"/>
      <charset val="1"/>
    </font>
    <font>
      <b/>
      <sz val="10"/>
      <name val="Arial"/>
      <charset val="1"/>
    </font>
    <font>
      <b/>
      <sz val="10"/>
      <color rgb="FFFFFFFF"/>
      <name val="Arial"/>
      <charset val="1"/>
    </font>
    <font>
      <sz val="10"/>
      <name val="Arial"/>
      <family val="2"/>
      <charset val="1"/>
    </font>
  </fonts>
  <fills count="5">
    <fill>
      <patternFill patternType="none"/>
    </fill>
    <fill>
      <patternFill patternType="gray125"/>
    </fill>
    <fill>
      <patternFill patternType="solid">
        <fgColor rgb="FFD9E2F3"/>
        <bgColor rgb="FFC6EFCE"/>
      </patternFill>
    </fill>
    <fill>
      <patternFill patternType="solid">
        <fgColor rgb="FF1F3864"/>
        <bgColor rgb="FF333333"/>
      </patternFill>
    </fill>
    <fill>
      <patternFill patternType="solid">
        <fgColor rgb="FFFFF2CC"/>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xf numFmtId="0" fontId="4" fillId="3" borderId="1" xfId="0" applyFont="1" applyFill="1" applyBorder="1"/>
    <xf numFmtId="0" fontId="3" fillId="0" borderId="1" xfId="0" applyFont="1" applyBorder="1"/>
    <xf numFmtId="0" fontId="2" fillId="0" borderId="1" xfId="0" applyFont="1" applyBorder="1"/>
    <xf numFmtId="0" fontId="2" fillId="4" borderId="1" xfId="0" applyFont="1" applyFill="1" applyBorder="1"/>
    <xf numFmtId="0" fontId="2" fillId="4" borderId="1" xfId="0" applyFont="1" applyFill="1" applyBorder="1" applyAlignment="1">
      <alignment vertical="top" wrapText="1"/>
    </xf>
    <xf numFmtId="0" fontId="4" fillId="3" borderId="1" xfId="0" applyFont="1" applyFill="1" applyBorder="1" applyAlignment="1">
      <alignment horizontal="center" vertical="center" wrapText="1"/>
    </xf>
    <xf numFmtId="0" fontId="2" fillId="0" borderId="1" xfId="0" applyFont="1" applyBorder="1" applyAlignment="1">
      <alignment horizontal="center"/>
    </xf>
    <xf numFmtId="164" fontId="2" fillId="0" borderId="1" xfId="0" applyNumberFormat="1" applyFont="1" applyBorder="1" applyAlignment="1">
      <alignment horizontal="center"/>
    </xf>
    <xf numFmtId="0" fontId="3" fillId="2" borderId="1" xfId="0" applyFont="1" applyFill="1" applyBorder="1"/>
    <xf numFmtId="0" fontId="3" fillId="2" borderId="1" xfId="0" applyFont="1" applyFill="1" applyBorder="1" applyAlignment="1">
      <alignment horizontal="center"/>
    </xf>
    <xf numFmtId="164" fontId="3" fillId="2" borderId="1" xfId="0" applyNumberFormat="1" applyFont="1" applyFill="1" applyBorder="1" applyAlignment="1">
      <alignment horizontal="center"/>
    </xf>
    <xf numFmtId="0" fontId="4" fillId="3" borderId="1" xfId="0" applyFont="1" applyFill="1" applyBorder="1" applyAlignment="1">
      <alignment horizontal="center"/>
    </xf>
    <xf numFmtId="0" fontId="2" fillId="0" borderId="1" xfId="0" applyFont="1" applyBorder="1" applyAlignment="1">
      <alignment horizontal="center" vertical="top" wrapText="1"/>
    </xf>
    <xf numFmtId="0" fontId="2" fillId="4" borderId="1" xfId="0" applyFont="1" applyFill="1" applyBorder="1" applyAlignment="1">
      <alignment horizontal="center" vertical="top" wrapText="1"/>
    </xf>
    <xf numFmtId="0" fontId="5" fillId="4" borderId="1" xfId="0" applyFont="1" applyFill="1" applyBorder="1" applyAlignment="1">
      <alignment vertical="top" wrapText="1"/>
    </xf>
    <xf numFmtId="0" fontId="5" fillId="0" borderId="2" xfId="0" applyFont="1" applyBorder="1" applyAlignment="1">
      <alignment horizontal="center" vertical="top" wrapText="1"/>
    </xf>
    <xf numFmtId="0" fontId="5" fillId="0" borderId="2" xfId="0" applyFont="1" applyBorder="1" applyAlignment="1">
      <alignment vertical="top" wrapText="1"/>
    </xf>
    <xf numFmtId="0" fontId="5" fillId="4" borderId="2" xfId="0" applyFont="1" applyFill="1" applyBorder="1" applyAlignment="1">
      <alignment vertical="top" wrapText="1"/>
    </xf>
    <xf numFmtId="0" fontId="5" fillId="4" borderId="2" xfId="0" applyFont="1" applyFill="1" applyBorder="1" applyAlignment="1">
      <alignment horizontal="center" vertical="top" wrapText="1"/>
    </xf>
  </cellXfs>
  <cellStyles count="1">
    <cellStyle name="Normal" xfId="0" builtinId="0"/>
  </cellStyles>
  <dxfs count="33">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topLeftCell="A17" zoomScaleNormal="100" workbookViewId="0">
      <selection activeCell="B21" sqref="B21"/>
    </sheetView>
  </sheetViews>
  <sheetFormatPr defaultColWidth="8.6640625" defaultRowHeight="14.4" x14ac:dyDescent="0.3"/>
  <cols>
    <col min="1" max="1" width="26" customWidth="1"/>
    <col min="2" max="2" width="110" customWidth="1"/>
  </cols>
  <sheetData>
    <row r="1" spans="1:2" ht="17.25" customHeight="1" x14ac:dyDescent="0.3">
      <c r="A1" s="1" t="s">
        <v>0</v>
      </c>
    </row>
    <row r="2" spans="1:2" ht="14.25" customHeight="1" x14ac:dyDescent="0.3">
      <c r="A2" s="2" t="s">
        <v>1</v>
      </c>
    </row>
    <row r="4" spans="1:2" ht="30" customHeight="1" x14ac:dyDescent="0.3">
      <c r="A4" s="3" t="s">
        <v>2</v>
      </c>
      <c r="B4" s="4" t="s">
        <v>3</v>
      </c>
    </row>
    <row r="5" spans="1:2" ht="30" customHeight="1" x14ac:dyDescent="0.3">
      <c r="A5" s="3" t="s">
        <v>4</v>
      </c>
      <c r="B5" s="4" t="s">
        <v>5</v>
      </c>
    </row>
    <row r="6" spans="1:2" ht="16.5" customHeight="1" x14ac:dyDescent="0.3">
      <c r="A6" s="3" t="s">
        <v>6</v>
      </c>
      <c r="B6" s="4" t="s">
        <v>7</v>
      </c>
    </row>
    <row r="7" spans="1:2" ht="30" customHeight="1" x14ac:dyDescent="0.3">
      <c r="A7" s="3" t="s">
        <v>8</v>
      </c>
      <c r="B7" s="4" t="s">
        <v>9</v>
      </c>
    </row>
    <row r="8" spans="1:2" ht="30" customHeight="1" x14ac:dyDescent="0.3">
      <c r="A8" s="3" t="s">
        <v>10</v>
      </c>
      <c r="B8" s="4" t="s">
        <v>11</v>
      </c>
    </row>
    <row r="9" spans="1:2" ht="30" customHeight="1" x14ac:dyDescent="0.3">
      <c r="A9" s="3" t="s">
        <v>12</v>
      </c>
      <c r="B9" s="4" t="s">
        <v>13</v>
      </c>
    </row>
    <row r="10" spans="1:2" ht="16.5" customHeight="1" x14ac:dyDescent="0.3">
      <c r="A10" s="3" t="s">
        <v>14</v>
      </c>
      <c r="B10" s="4" t="s">
        <v>15</v>
      </c>
    </row>
    <row r="11" spans="1:2" ht="42.75" customHeight="1" x14ac:dyDescent="0.3">
      <c r="A11" s="3" t="s">
        <v>16</v>
      </c>
      <c r="B11" s="4" t="s">
        <v>17</v>
      </c>
    </row>
    <row r="12" spans="1:2" ht="30" customHeight="1" x14ac:dyDescent="0.3">
      <c r="A12" s="3" t="s">
        <v>18</v>
      </c>
      <c r="B12" s="4" t="s">
        <v>19</v>
      </c>
    </row>
    <row r="14" spans="1:2" ht="14.25" customHeight="1" x14ac:dyDescent="0.3">
      <c r="A14" s="5" t="s">
        <v>20</v>
      </c>
    </row>
    <row r="15" spans="1:2" ht="14.25" customHeight="1" x14ac:dyDescent="0.3">
      <c r="A15" s="6" t="s">
        <v>21</v>
      </c>
      <c r="B15" s="6" t="s">
        <v>22</v>
      </c>
    </row>
    <row r="16" spans="1:2" ht="14.25" customHeight="1" x14ac:dyDescent="0.3">
      <c r="A16" s="7" t="s">
        <v>23</v>
      </c>
      <c r="B16" s="8" t="s">
        <v>24</v>
      </c>
    </row>
    <row r="17" spans="1:2" ht="14.25" customHeight="1" x14ac:dyDescent="0.3">
      <c r="A17" s="7" t="s">
        <v>25</v>
      </c>
      <c r="B17" s="8" t="s">
        <v>26</v>
      </c>
    </row>
    <row r="18" spans="1:2" ht="14.25" customHeight="1" x14ac:dyDescent="0.3">
      <c r="A18" s="7" t="s">
        <v>27</v>
      </c>
      <c r="B18" s="8" t="s">
        <v>28</v>
      </c>
    </row>
    <row r="19" spans="1:2" ht="14.25" customHeight="1" x14ac:dyDescent="0.3">
      <c r="A19" s="7" t="s">
        <v>29</v>
      </c>
      <c r="B19" s="8" t="s">
        <v>30</v>
      </c>
    </row>
    <row r="20" spans="1:2" ht="14.25" customHeight="1" x14ac:dyDescent="0.3">
      <c r="A20" s="7" t="s">
        <v>31</v>
      </c>
      <c r="B20" s="9" t="s">
        <v>32</v>
      </c>
    </row>
    <row r="21" spans="1:2" ht="14.25" customHeight="1" x14ac:dyDescent="0.3">
      <c r="A21" s="7" t="s">
        <v>33</v>
      </c>
      <c r="B21" s="9" t="s">
        <v>34</v>
      </c>
    </row>
    <row r="22" spans="1:2" ht="14.25" customHeight="1" x14ac:dyDescent="0.3">
      <c r="A22" s="7" t="s">
        <v>35</v>
      </c>
      <c r="B22" s="9" t="s">
        <v>36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topLeftCell="A3" zoomScaleNormal="100" workbookViewId="0"/>
  </sheetViews>
  <sheetFormatPr defaultColWidth="8.6640625" defaultRowHeight="14.4" x14ac:dyDescent="0.3"/>
  <cols>
    <col min="1" max="1" width="28" customWidth="1"/>
    <col min="2" max="2" width="110" customWidth="1"/>
  </cols>
  <sheetData>
    <row r="1" spans="1:2" ht="17.25" customHeight="1" x14ac:dyDescent="0.3">
      <c r="A1" s="1" t="s">
        <v>37</v>
      </c>
    </row>
    <row r="3" spans="1:2" ht="16.5" customHeight="1" x14ac:dyDescent="0.3">
      <c r="A3" s="3" t="s">
        <v>38</v>
      </c>
      <c r="B3" s="4" t="s">
        <v>39</v>
      </c>
    </row>
    <row r="4" spans="1:2" ht="42.75" customHeight="1" x14ac:dyDescent="0.3">
      <c r="A4" s="3" t="s">
        <v>40</v>
      </c>
      <c r="B4" s="4" t="s">
        <v>41</v>
      </c>
    </row>
    <row r="5" spans="1:2" ht="16.5" customHeight="1" x14ac:dyDescent="0.3">
      <c r="A5" s="3" t="s">
        <v>42</v>
      </c>
      <c r="B5" s="4" t="s">
        <v>43</v>
      </c>
    </row>
    <row r="6" spans="1:2" ht="42.75" customHeight="1" x14ac:dyDescent="0.3">
      <c r="A6" s="3" t="s">
        <v>44</v>
      </c>
      <c r="B6" s="4" t="s">
        <v>45</v>
      </c>
    </row>
    <row r="7" spans="1:2" ht="16.5" customHeight="1" x14ac:dyDescent="0.3">
      <c r="A7" s="3" t="s">
        <v>46</v>
      </c>
      <c r="B7" s="4" t="s">
        <v>47</v>
      </c>
    </row>
    <row r="8" spans="1:2" ht="30" customHeight="1" x14ac:dyDescent="0.3">
      <c r="A8" s="3" t="s">
        <v>48</v>
      </c>
      <c r="B8" s="10" t="s">
        <v>49</v>
      </c>
    </row>
    <row r="9" spans="1:2" ht="30" customHeight="1" x14ac:dyDescent="0.3">
      <c r="A9" s="3" t="s">
        <v>50</v>
      </c>
      <c r="B9" s="4" t="s">
        <v>51</v>
      </c>
    </row>
    <row r="10" spans="1:2" ht="30" customHeight="1" x14ac:dyDescent="0.3">
      <c r="A10" s="3" t="s">
        <v>52</v>
      </c>
      <c r="B10" s="4" t="s">
        <v>53</v>
      </c>
    </row>
    <row r="11" spans="1:2" ht="16.5" customHeight="1" x14ac:dyDescent="0.3">
      <c r="A11" s="3" t="s">
        <v>54</v>
      </c>
      <c r="B11" s="4" t="s">
        <v>55</v>
      </c>
    </row>
    <row r="12" spans="1:2" ht="30" customHeight="1" x14ac:dyDescent="0.3">
      <c r="A12" s="3" t="s">
        <v>56</v>
      </c>
      <c r="B12" s="4" t="s">
        <v>57</v>
      </c>
    </row>
    <row r="13" spans="1:2" ht="55.5" customHeight="1" x14ac:dyDescent="0.3">
      <c r="A13" s="3" t="s">
        <v>58</v>
      </c>
      <c r="B13" s="4" t="s">
        <v>59</v>
      </c>
    </row>
    <row r="14" spans="1:2" ht="30" customHeight="1" x14ac:dyDescent="0.3">
      <c r="A14" s="3" t="s">
        <v>60</v>
      </c>
      <c r="B14" s="4" t="s">
        <v>61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showGridLines="0" zoomScaleNormal="100" workbookViewId="0">
      <selection activeCell="G20" sqref="G20"/>
    </sheetView>
  </sheetViews>
  <sheetFormatPr defaultColWidth="8.6640625" defaultRowHeight="14.4" x14ac:dyDescent="0.3"/>
  <cols>
    <col min="1" max="1" width="26" customWidth="1"/>
    <col min="2" max="2" width="13" customWidth="1"/>
    <col min="3" max="6" width="10" customWidth="1"/>
    <col min="7" max="7" width="16" customWidth="1"/>
    <col min="8" max="8" width="18" customWidth="1"/>
  </cols>
  <sheetData>
    <row r="1" spans="1:8" ht="17.25" customHeight="1" x14ac:dyDescent="0.3">
      <c r="A1" s="1" t="s">
        <v>62</v>
      </c>
    </row>
    <row r="3" spans="1:8" ht="30" customHeight="1" x14ac:dyDescent="0.3">
      <c r="A3" s="11" t="s">
        <v>63</v>
      </c>
      <c r="B3" s="11" t="s">
        <v>64</v>
      </c>
      <c r="C3" s="11" t="s">
        <v>65</v>
      </c>
      <c r="D3" s="11" t="s">
        <v>34</v>
      </c>
      <c r="E3" s="11" t="s">
        <v>66</v>
      </c>
      <c r="F3" s="11" t="s">
        <v>67</v>
      </c>
      <c r="G3" s="11" t="s">
        <v>68</v>
      </c>
      <c r="H3" s="11" t="s">
        <v>69</v>
      </c>
    </row>
    <row r="4" spans="1:8" ht="14.25" customHeight="1" x14ac:dyDescent="0.3">
      <c r="A4" s="8" t="s">
        <v>70</v>
      </c>
      <c r="B4" s="12">
        <f>COUNTA(TC_DangKy!A2:A500)</f>
        <v>14</v>
      </c>
      <c r="C4" s="12">
        <f>COUNTIF(TC_DangKy!H2:H500,"Pass")</f>
        <v>13</v>
      </c>
      <c r="D4" s="12">
        <f>COUNTIF(TC_DangKy!H2:H500,"Fail")</f>
        <v>1</v>
      </c>
      <c r="E4" s="12">
        <f>COUNTIF(TC_DangKy!H2:H500,"Blocked")</f>
        <v>0</v>
      </c>
      <c r="F4" s="12">
        <f>COUNTIF(TC_DangKy!H2:H500,"Not Run")</f>
        <v>0</v>
      </c>
      <c r="G4" s="13">
        <f t="shared" ref="G4:G15" si="0">IFERROR((C4+D4+E4)/B4,0)</f>
        <v>1</v>
      </c>
      <c r="H4" s="13">
        <f t="shared" ref="H4:H15" si="1">IFERROR(C4/B4,0)</f>
        <v>0.9285714285714286</v>
      </c>
    </row>
    <row r="5" spans="1:8" ht="14.25" customHeight="1" x14ac:dyDescent="0.3">
      <c r="A5" s="8" t="s">
        <v>71</v>
      </c>
      <c r="B5" s="12">
        <f>COUNTA(TC_DangNhap!A2:A500)</f>
        <v>12</v>
      </c>
      <c r="C5" s="12">
        <f>COUNTIF(TC_DangNhap!H2:H500,"Pass")</f>
        <v>9</v>
      </c>
      <c r="D5" s="12">
        <f>COUNTIF(TC_DangNhap!H2:H500,"Fail")</f>
        <v>1</v>
      </c>
      <c r="E5" s="12">
        <f>COUNTIF(TC_DangNhap!H2:H500,"Blocked")</f>
        <v>0</v>
      </c>
      <c r="F5" s="12">
        <f>COUNTIF(TC_DangNhap!H2:H500,"Not Run")</f>
        <v>2</v>
      </c>
      <c r="G5" s="13">
        <f t="shared" si="0"/>
        <v>0.83333333333333337</v>
      </c>
      <c r="H5" s="13">
        <f t="shared" si="1"/>
        <v>0.75</v>
      </c>
    </row>
    <row r="6" spans="1:8" ht="14.25" customHeight="1" x14ac:dyDescent="0.3">
      <c r="A6" s="8" t="s">
        <v>72</v>
      </c>
      <c r="B6" s="12">
        <f>COUNTA(TC_LocSapXep!A2:A500)</f>
        <v>15</v>
      </c>
      <c r="C6" s="12">
        <f>COUNTIF(TC_LocSapXep!H2:H500,"Pass")</f>
        <v>10</v>
      </c>
      <c r="D6" s="12">
        <f>COUNTIF(TC_LocSapXep!H2:H500,"Fail")</f>
        <v>1</v>
      </c>
      <c r="E6" s="12">
        <f>COUNTIF(TC_LocSapXep!H2:H500,"Blocked")</f>
        <v>1</v>
      </c>
      <c r="F6" s="12">
        <f>COUNTIF(TC_LocSapXep!H2:H500,"Not Run")</f>
        <v>3</v>
      </c>
      <c r="G6" s="13">
        <f t="shared" si="0"/>
        <v>0.8</v>
      </c>
      <c r="H6" s="13">
        <f t="shared" si="1"/>
        <v>0.66666666666666663</v>
      </c>
    </row>
    <row r="7" spans="1:8" ht="14.25" customHeight="1" x14ac:dyDescent="0.3">
      <c r="A7" s="8" t="s">
        <v>73</v>
      </c>
      <c r="B7" s="12">
        <f>COUNTA(TC_ChiTiet!A2:A500)</f>
        <v>8</v>
      </c>
      <c r="C7" s="12">
        <f>COUNTIF(TC_ChiTiet!H2:H500,"Pass")</f>
        <v>6</v>
      </c>
      <c r="D7" s="12">
        <f>COUNTIF(TC_ChiTiet!H2:H500,"Fail")</f>
        <v>0</v>
      </c>
      <c r="E7" s="12">
        <f>COUNTIF(TC_ChiTiet!H2:H500,"Blocked")</f>
        <v>0</v>
      </c>
      <c r="F7" s="12">
        <f>COUNTIF(TC_ChiTiet!H2:H500,"Not Run")</f>
        <v>2</v>
      </c>
      <c r="G7" s="13">
        <f t="shared" si="0"/>
        <v>0.75</v>
      </c>
      <c r="H7" s="13">
        <f t="shared" si="1"/>
        <v>0.75</v>
      </c>
    </row>
    <row r="8" spans="1:8" ht="14.25" customHeight="1" x14ac:dyDescent="0.3">
      <c r="A8" s="8" t="s">
        <v>74</v>
      </c>
      <c r="B8" s="12">
        <f>COUNTA(TC_GioHang!A2:A500)</f>
        <v>12</v>
      </c>
      <c r="C8" s="12">
        <f>COUNTIF(TC_GioHang!H2:H500,"Pass")</f>
        <v>10</v>
      </c>
      <c r="D8" s="12">
        <f>COUNTIF(TC_GioHang!H2:H500,"Fail")</f>
        <v>1</v>
      </c>
      <c r="E8" s="12">
        <f>COUNTIF(TC_GioHang!H2:H500,"Blocked")</f>
        <v>0</v>
      </c>
      <c r="F8" s="12">
        <f>COUNTIF(TC_GioHang!H2:H500,"Not Run")</f>
        <v>1</v>
      </c>
      <c r="G8" s="13">
        <f t="shared" si="0"/>
        <v>0.91666666666666663</v>
      </c>
      <c r="H8" s="13">
        <f t="shared" si="1"/>
        <v>0.83333333333333337</v>
      </c>
    </row>
    <row r="9" spans="1:8" ht="14.25" customHeight="1" x14ac:dyDescent="0.3">
      <c r="A9" s="8" t="s">
        <v>75</v>
      </c>
      <c r="B9" s="12">
        <f>COUNTA(TC_Wishlist!A2:A500)</f>
        <v>6</v>
      </c>
      <c r="C9" s="12">
        <f>COUNTIF(TC_Wishlist!H2:H500,"Pass")</f>
        <v>2</v>
      </c>
      <c r="D9" s="12">
        <f>COUNTIF(TC_Wishlist!H2:H500,"Fail")</f>
        <v>1</v>
      </c>
      <c r="E9" s="12">
        <f>COUNTIF(TC_Wishlist!H2:H500,"Blocked")</f>
        <v>0</v>
      </c>
      <c r="F9" s="12">
        <f>COUNTIF(TC_Wishlist!H2:H500,"Not Run")</f>
        <v>3</v>
      </c>
      <c r="G9" s="13">
        <f t="shared" si="0"/>
        <v>0.5</v>
      </c>
      <c r="H9" s="13">
        <f t="shared" si="1"/>
        <v>0.33333333333333331</v>
      </c>
    </row>
    <row r="10" spans="1:8" ht="14.25" customHeight="1" x14ac:dyDescent="0.3">
      <c r="A10" s="8" t="s">
        <v>76</v>
      </c>
      <c r="B10" s="12">
        <f>COUNTA(TC_MaGiamGia!A2:A500)</f>
        <v>9</v>
      </c>
      <c r="C10" s="12">
        <f>COUNTIF(TC_MaGiamGia!H2:H500,"Pass")</f>
        <v>3</v>
      </c>
      <c r="D10" s="12">
        <f>COUNTIF(TC_MaGiamGia!H2:H500,"Fail")</f>
        <v>3</v>
      </c>
      <c r="E10" s="12">
        <f>COUNTIF(TC_MaGiamGia!H2:H500,"Blocked")</f>
        <v>0</v>
      </c>
      <c r="F10" s="12">
        <f>COUNTIF(TC_MaGiamGia!H2:H500,"Not Run")</f>
        <v>3</v>
      </c>
      <c r="G10" s="13">
        <f t="shared" si="0"/>
        <v>0.66666666666666663</v>
      </c>
      <c r="H10" s="13">
        <f t="shared" si="1"/>
        <v>0.33333333333333331</v>
      </c>
    </row>
    <row r="11" spans="1:8" ht="14.25" customHeight="1" x14ac:dyDescent="0.3">
      <c r="A11" s="8" t="s">
        <v>77</v>
      </c>
      <c r="B11" s="12">
        <f>COUNTA(TC_Checkout!A2:A500)</f>
        <v>18</v>
      </c>
      <c r="C11" s="12">
        <f>COUNTIF(TC_Checkout!H2:H500,"Pass")</f>
        <v>6</v>
      </c>
      <c r="D11" s="12">
        <f>COUNTIF(TC_Checkout!H2:H500,"Fail")</f>
        <v>0</v>
      </c>
      <c r="E11" s="12">
        <f>COUNTIF(TC_Checkout!H2:H500,"Blocked")</f>
        <v>0</v>
      </c>
      <c r="F11" s="12">
        <f>COUNTIF(TC_Checkout!H2:H500,"Not Run")</f>
        <v>12</v>
      </c>
      <c r="G11" s="13">
        <f t="shared" si="0"/>
        <v>0.33333333333333331</v>
      </c>
      <c r="H11" s="13">
        <f t="shared" si="1"/>
        <v>0.33333333333333331</v>
      </c>
    </row>
    <row r="12" spans="1:8" ht="14.25" customHeight="1" x14ac:dyDescent="0.3">
      <c r="A12" s="8" t="s">
        <v>78</v>
      </c>
      <c r="B12" s="12">
        <f>COUNTA(TC_Admin!A2:A500)</f>
        <v>10</v>
      </c>
      <c r="C12" s="12">
        <f>COUNTIF(TC_Admin!H2:H500,"Pass")</f>
        <v>3</v>
      </c>
      <c r="D12" s="12">
        <f>COUNTIF(TC_Admin!H2:H500,"Fail")</f>
        <v>1</v>
      </c>
      <c r="E12" s="12">
        <f>COUNTIF(TC_Admin!H2:H500,"Blocked")</f>
        <v>0</v>
      </c>
      <c r="F12" s="12">
        <f>COUNTIF(TC_Admin!H2:H500,"Not Run")</f>
        <v>6</v>
      </c>
      <c r="G12" s="13">
        <f t="shared" si="0"/>
        <v>0.4</v>
      </c>
      <c r="H12" s="13">
        <f t="shared" si="1"/>
        <v>0.3</v>
      </c>
    </row>
    <row r="13" spans="1:8" ht="14.25" customHeight="1" x14ac:dyDescent="0.3">
      <c r="A13" s="8" t="s">
        <v>79</v>
      </c>
      <c r="B13" s="12">
        <f>COUNTA(TC_GiaoDien!A2:A500)</f>
        <v>11</v>
      </c>
      <c r="C13" s="12">
        <f>COUNTIF(TC_GiaoDien!H2:H500,"Pass")</f>
        <v>4</v>
      </c>
      <c r="D13" s="12">
        <f>COUNTIF(TC_GiaoDien!H2:H500,"Fail")</f>
        <v>2</v>
      </c>
      <c r="E13" s="12">
        <f>COUNTIF(TC_GiaoDien!H2:H500,"Blocked")</f>
        <v>0</v>
      </c>
      <c r="F13" s="12">
        <f>COUNTIF(TC_GiaoDien!H2:H500,"Not Run")</f>
        <v>5</v>
      </c>
      <c r="G13" s="13">
        <f t="shared" si="0"/>
        <v>0.54545454545454541</v>
      </c>
      <c r="H13" s="13">
        <f t="shared" si="1"/>
        <v>0.36363636363636365</v>
      </c>
    </row>
    <row r="14" spans="1:8" ht="14.25" customHeight="1" x14ac:dyDescent="0.3">
      <c r="A14" s="8" t="s">
        <v>80</v>
      </c>
      <c r="B14" s="12">
        <f>COUNTA(TC_API!A2:A500)</f>
        <v>30</v>
      </c>
      <c r="C14" s="12">
        <f>COUNTIF(TC_API!J2:J500,"Pass")</f>
        <v>23</v>
      </c>
      <c r="D14" s="12">
        <f>COUNTIF(TC_API!J2:J500,"Fail")</f>
        <v>7</v>
      </c>
      <c r="E14" s="12">
        <f>COUNTIF(TC_API!J2:J500,"Blocked")</f>
        <v>0</v>
      </c>
      <c r="F14" s="12">
        <f>COUNTIF(TC_API!J2:J500,"Not Run")</f>
        <v>0</v>
      </c>
      <c r="G14" s="13">
        <f t="shared" si="0"/>
        <v>1</v>
      </c>
      <c r="H14" s="13">
        <f t="shared" si="1"/>
        <v>0.76666666666666672</v>
      </c>
    </row>
    <row r="15" spans="1:8" ht="14.25" customHeight="1" x14ac:dyDescent="0.3">
      <c r="A15" s="14" t="s">
        <v>81</v>
      </c>
      <c r="B15" s="15">
        <f>SUM(B4:B14)</f>
        <v>145</v>
      </c>
      <c r="C15" s="15">
        <f>SUM(C4:C14)</f>
        <v>89</v>
      </c>
      <c r="D15" s="15">
        <f>SUM(D4:D14)</f>
        <v>18</v>
      </c>
      <c r="E15" s="15">
        <f>SUM(E4:E14)</f>
        <v>1</v>
      </c>
      <c r="F15" s="15">
        <f>SUM(F4:F14)</f>
        <v>37</v>
      </c>
      <c r="G15" s="16">
        <f t="shared" si="0"/>
        <v>0.7448275862068966</v>
      </c>
      <c r="H15" s="16">
        <f t="shared" si="1"/>
        <v>0.61379310344827587</v>
      </c>
    </row>
    <row r="17" spans="1:5" ht="14.25" customHeight="1" x14ac:dyDescent="0.3">
      <c r="A17" s="5" t="s">
        <v>82</v>
      </c>
    </row>
    <row r="18" spans="1:5" ht="14.25" customHeight="1" x14ac:dyDescent="0.3">
      <c r="A18" s="17" t="s">
        <v>83</v>
      </c>
      <c r="B18" s="17" t="s">
        <v>84</v>
      </c>
      <c r="C18" s="17" t="s">
        <v>85</v>
      </c>
      <c r="D18" s="17" t="s">
        <v>86</v>
      </c>
      <c r="E18" s="17" t="s">
        <v>87</v>
      </c>
    </row>
    <row r="19" spans="1:5" ht="14.25" customHeight="1" x14ac:dyDescent="0.3">
      <c r="A19" s="8" t="s">
        <v>88</v>
      </c>
      <c r="B19" s="12">
        <f>COUNTIF(Bug_Report!H2:H500,"Critical")</f>
        <v>4</v>
      </c>
      <c r="C19" s="12">
        <f>COUNTIFS(Bug_Report!H2:H500,"Critical",Bug_Report!J2:J500,"Nghi vấn - cần xác minh")</f>
        <v>0</v>
      </c>
      <c r="D19" s="12">
        <f>COUNTIFS(Bug_Report!H2:H500,"Critical",Bug_Report!J2:J500,"Đã xác nhận")</f>
        <v>4</v>
      </c>
      <c r="E19" s="12">
        <f>COUNTIFS(Bug_Report!H2:H500,"Critical",Bug_Report!J2:J500,"Đã sửa")</f>
        <v>0</v>
      </c>
    </row>
    <row r="20" spans="1:5" ht="14.25" customHeight="1" x14ac:dyDescent="0.3">
      <c r="A20" s="8" t="s">
        <v>89</v>
      </c>
      <c r="B20" s="12">
        <f>COUNTIF(Bug_Report!H2:H500,"Major")</f>
        <v>8</v>
      </c>
      <c r="C20" s="12">
        <f>COUNTIFS(Bug_Report!H2:H500,"Major",Bug_Report!J2:J500,"Nghi vấn - cần xác minh")</f>
        <v>5</v>
      </c>
      <c r="D20" s="12">
        <f>COUNTIFS(Bug_Report!H2:H500,"Major",Bug_Report!J2:J500,"Đã xác nhận")</f>
        <v>3</v>
      </c>
      <c r="E20" s="12">
        <f>COUNTIFS(Bug_Report!H2:H500,"Major",Bug_Report!J2:J500,"Đã sửa")</f>
        <v>0</v>
      </c>
    </row>
    <row r="21" spans="1:5" ht="14.25" customHeight="1" x14ac:dyDescent="0.3">
      <c r="A21" s="8" t="s">
        <v>90</v>
      </c>
      <c r="B21" s="12">
        <f>COUNTIF(Bug_Report!H2:H500,"Minor")</f>
        <v>14</v>
      </c>
      <c r="C21" s="12">
        <f>COUNTIFS(Bug_Report!H2:H500,"Minor",Bug_Report!J2:J500,"Nghi vấn - cần xác minh")</f>
        <v>5</v>
      </c>
      <c r="D21" s="12">
        <f>COUNTIFS(Bug_Report!H2:H500,"Minor",Bug_Report!J2:J500,"Đã xác nhận")</f>
        <v>8</v>
      </c>
      <c r="E21" s="12">
        <f>COUNTIFS(Bug_Report!H2:H500,"Minor",Bug_Report!J2:J500,"Đã sửa")</f>
        <v>0</v>
      </c>
    </row>
    <row r="22" spans="1:5" ht="14.25" customHeight="1" x14ac:dyDescent="0.3">
      <c r="A22" s="8" t="s">
        <v>91</v>
      </c>
      <c r="B22" s="12">
        <f>COUNTIF(Bug_Report!H2:H500,"Trivial")</f>
        <v>1</v>
      </c>
      <c r="C22" s="12">
        <f>COUNTIFS(Bug_Report!H2:H500,"Trivial",Bug_Report!J2:J500,"Nghi vấn - cần xác minh")</f>
        <v>0</v>
      </c>
      <c r="D22" s="12">
        <f>COUNTIFS(Bug_Report!H2:H500,"Trivial",Bug_Report!J2:J500,"Đã xác nhận")</f>
        <v>1</v>
      </c>
      <c r="E22" s="12">
        <f>COUNTIFS(Bug_Report!H2:H500,"Trivial",Bug_Report!J2:J500,"Đã sửa")</f>
        <v>0</v>
      </c>
    </row>
    <row r="23" spans="1:5" ht="14.25" customHeight="1" x14ac:dyDescent="0.3">
      <c r="A23" s="14" t="s">
        <v>81</v>
      </c>
      <c r="B23" s="15">
        <f>SUM(B19:B22)</f>
        <v>27</v>
      </c>
      <c r="C23" s="15">
        <f>SUM(C19:C22)</f>
        <v>10</v>
      </c>
      <c r="D23" s="15">
        <f>SUM(D19:D22)</f>
        <v>16</v>
      </c>
      <c r="E23" s="15">
        <f>SUM(E19:E22)</f>
        <v>0</v>
      </c>
    </row>
    <row r="25" spans="1:5" ht="14.25" customHeight="1" x14ac:dyDescent="0.3">
      <c r="A25" s="2" t="s">
        <v>92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zoomScaleNormal="100" workbookViewId="0">
      <pane xSplit="1" ySplit="1" topLeftCell="B9"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69" customHeight="1" x14ac:dyDescent="0.3">
      <c r="A2" s="18" t="s">
        <v>97</v>
      </c>
      <c r="B2" s="4" t="s">
        <v>98</v>
      </c>
      <c r="C2" s="4" t="s">
        <v>99</v>
      </c>
      <c r="D2" s="4" t="s">
        <v>100</v>
      </c>
      <c r="E2" s="4" t="s">
        <v>101</v>
      </c>
      <c r="F2" s="4" t="s">
        <v>102</v>
      </c>
      <c r="G2" s="10" t="s">
        <v>103</v>
      </c>
      <c r="H2" s="19" t="s">
        <v>65</v>
      </c>
      <c r="I2" s="18" t="s">
        <v>88</v>
      </c>
      <c r="J2" s="18" t="s">
        <v>104</v>
      </c>
      <c r="K2" s="10"/>
    </row>
    <row r="3" spans="1:11" ht="30" customHeight="1" x14ac:dyDescent="0.3">
      <c r="A3" s="18" t="s">
        <v>105</v>
      </c>
      <c r="B3" s="4" t="s">
        <v>106</v>
      </c>
      <c r="C3" s="4" t="s">
        <v>107</v>
      </c>
      <c r="D3" s="4" t="s">
        <v>108</v>
      </c>
      <c r="E3" s="4" t="s">
        <v>109</v>
      </c>
      <c r="F3" s="4" t="s">
        <v>110</v>
      </c>
      <c r="G3" s="10" t="s">
        <v>103</v>
      </c>
      <c r="H3" s="19" t="s">
        <v>65</v>
      </c>
      <c r="I3" s="18" t="s">
        <v>89</v>
      </c>
      <c r="J3" s="18" t="s">
        <v>104</v>
      </c>
      <c r="K3" s="10"/>
    </row>
    <row r="4" spans="1:11" ht="42.75" customHeight="1" x14ac:dyDescent="0.3">
      <c r="A4" s="18" t="s">
        <v>111</v>
      </c>
      <c r="B4" s="4" t="s">
        <v>112</v>
      </c>
      <c r="C4" s="4" t="s">
        <v>107</v>
      </c>
      <c r="D4" s="4" t="s">
        <v>113</v>
      </c>
      <c r="E4" s="4" t="s">
        <v>114</v>
      </c>
      <c r="F4" s="4" t="s">
        <v>115</v>
      </c>
      <c r="G4" s="10" t="s">
        <v>103</v>
      </c>
      <c r="H4" s="19" t="s">
        <v>65</v>
      </c>
      <c r="I4" s="18" t="s">
        <v>89</v>
      </c>
      <c r="J4" s="18" t="s">
        <v>104</v>
      </c>
      <c r="K4" s="10"/>
    </row>
    <row r="5" spans="1:11" ht="42.75" customHeight="1" x14ac:dyDescent="0.3">
      <c r="A5" s="18" t="s">
        <v>116</v>
      </c>
      <c r="B5" s="4" t="s">
        <v>117</v>
      </c>
      <c r="C5" s="4" t="s">
        <v>107</v>
      </c>
      <c r="D5" s="4" t="s">
        <v>118</v>
      </c>
      <c r="E5" s="4" t="s">
        <v>119</v>
      </c>
      <c r="F5" s="4" t="s">
        <v>120</v>
      </c>
      <c r="G5" s="10" t="s">
        <v>103</v>
      </c>
      <c r="H5" s="19" t="s">
        <v>65</v>
      </c>
      <c r="I5" s="18" t="s">
        <v>90</v>
      </c>
      <c r="J5" s="18" t="s">
        <v>104</v>
      </c>
      <c r="K5" s="10"/>
    </row>
    <row r="6" spans="1:11" ht="30" customHeight="1" x14ac:dyDescent="0.3">
      <c r="A6" s="18" t="s">
        <v>121</v>
      </c>
      <c r="B6" s="4" t="s">
        <v>122</v>
      </c>
      <c r="C6" s="4" t="s">
        <v>107</v>
      </c>
      <c r="D6" s="4" t="s">
        <v>123</v>
      </c>
      <c r="E6" s="4" t="s">
        <v>124</v>
      </c>
      <c r="F6" s="4" t="s">
        <v>125</v>
      </c>
      <c r="G6" s="10" t="s">
        <v>103</v>
      </c>
      <c r="H6" s="19" t="s">
        <v>65</v>
      </c>
      <c r="I6" s="18" t="s">
        <v>89</v>
      </c>
      <c r="J6" s="18" t="s">
        <v>104</v>
      </c>
      <c r="K6" s="10"/>
    </row>
    <row r="7" spans="1:11" ht="30" customHeight="1" x14ac:dyDescent="0.3">
      <c r="A7" s="18" t="s">
        <v>126</v>
      </c>
      <c r="B7" s="4" t="s">
        <v>127</v>
      </c>
      <c r="C7" s="4" t="s">
        <v>107</v>
      </c>
      <c r="D7" s="4" t="s">
        <v>128</v>
      </c>
      <c r="E7" s="4" t="s">
        <v>129</v>
      </c>
      <c r="F7" s="4" t="s">
        <v>125</v>
      </c>
      <c r="G7" s="10" t="s">
        <v>103</v>
      </c>
      <c r="H7" s="19" t="s">
        <v>65</v>
      </c>
      <c r="I7" s="18" t="s">
        <v>89</v>
      </c>
      <c r="J7" s="18" t="s">
        <v>104</v>
      </c>
      <c r="K7" s="10"/>
    </row>
    <row r="8" spans="1:11" ht="30" customHeight="1" x14ac:dyDescent="0.3">
      <c r="A8" s="18" t="s">
        <v>130</v>
      </c>
      <c r="B8" s="4" t="s">
        <v>131</v>
      </c>
      <c r="C8" s="4" t="s">
        <v>107</v>
      </c>
      <c r="D8" s="4" t="s">
        <v>132</v>
      </c>
      <c r="E8" s="4" t="s">
        <v>133</v>
      </c>
      <c r="F8" s="4" t="s">
        <v>134</v>
      </c>
      <c r="G8" s="10" t="s">
        <v>103</v>
      </c>
      <c r="H8" s="19" t="s">
        <v>65</v>
      </c>
      <c r="I8" s="18" t="s">
        <v>89</v>
      </c>
      <c r="J8" s="18" t="s">
        <v>104</v>
      </c>
      <c r="K8" s="10"/>
    </row>
    <row r="9" spans="1:11" ht="30" customHeight="1" x14ac:dyDescent="0.3">
      <c r="A9" s="18" t="s">
        <v>135</v>
      </c>
      <c r="B9" s="4" t="s">
        <v>136</v>
      </c>
      <c r="C9" s="4" t="s">
        <v>107</v>
      </c>
      <c r="D9" s="4" t="s">
        <v>137</v>
      </c>
      <c r="E9" s="4" t="s">
        <v>138</v>
      </c>
      <c r="F9" s="4" t="s">
        <v>139</v>
      </c>
      <c r="G9" s="10" t="s">
        <v>103</v>
      </c>
      <c r="H9" s="19" t="s">
        <v>65</v>
      </c>
      <c r="I9" s="18" t="s">
        <v>89</v>
      </c>
      <c r="J9" s="18" t="s">
        <v>104</v>
      </c>
      <c r="K9" s="10"/>
    </row>
    <row r="10" spans="1:11" ht="42.75" customHeight="1" x14ac:dyDescent="0.3">
      <c r="A10" s="18" t="s">
        <v>24</v>
      </c>
      <c r="B10" s="4" t="s">
        <v>26</v>
      </c>
      <c r="C10" s="4" t="s">
        <v>107</v>
      </c>
      <c r="D10" s="4" t="s">
        <v>140</v>
      </c>
      <c r="E10" s="4" t="s">
        <v>28</v>
      </c>
      <c r="F10" s="4" t="s">
        <v>30</v>
      </c>
      <c r="G10" s="10" t="s">
        <v>141</v>
      </c>
      <c r="H10" s="19" t="s">
        <v>34</v>
      </c>
      <c r="I10" s="18" t="s">
        <v>89</v>
      </c>
      <c r="J10" s="18" t="s">
        <v>104</v>
      </c>
      <c r="K10" s="10" t="s">
        <v>142</v>
      </c>
    </row>
    <row r="11" spans="1:11" ht="42.75" customHeight="1" x14ac:dyDescent="0.3">
      <c r="A11" s="18" t="s">
        <v>143</v>
      </c>
      <c r="B11" s="4" t="s">
        <v>144</v>
      </c>
      <c r="C11" s="4" t="s">
        <v>107</v>
      </c>
      <c r="D11" s="4" t="s">
        <v>145</v>
      </c>
      <c r="E11" s="4" t="s">
        <v>146</v>
      </c>
      <c r="F11" s="4" t="s">
        <v>147</v>
      </c>
      <c r="G11" s="10" t="s">
        <v>103</v>
      </c>
      <c r="H11" s="19" t="s">
        <v>65</v>
      </c>
      <c r="I11" s="18" t="s">
        <v>89</v>
      </c>
      <c r="J11" s="18" t="s">
        <v>104</v>
      </c>
      <c r="K11" s="10"/>
    </row>
    <row r="12" spans="1:11" ht="30" customHeight="1" x14ac:dyDescent="0.3">
      <c r="A12" s="18" t="s">
        <v>148</v>
      </c>
      <c r="B12" s="4" t="s">
        <v>149</v>
      </c>
      <c r="C12" s="4" t="s">
        <v>107</v>
      </c>
      <c r="D12" s="4" t="s">
        <v>150</v>
      </c>
      <c r="E12" s="4" t="s">
        <v>151</v>
      </c>
      <c r="F12" s="4" t="s">
        <v>152</v>
      </c>
      <c r="G12" s="10" t="s">
        <v>103</v>
      </c>
      <c r="H12" s="19" t="s">
        <v>65</v>
      </c>
      <c r="I12" s="18" t="s">
        <v>89</v>
      </c>
      <c r="J12" s="18" t="s">
        <v>104</v>
      </c>
      <c r="K12" s="10"/>
    </row>
    <row r="13" spans="1:11" ht="30" customHeight="1" x14ac:dyDescent="0.3">
      <c r="A13" s="18" t="s">
        <v>153</v>
      </c>
      <c r="B13" s="4" t="s">
        <v>154</v>
      </c>
      <c r="C13" s="4" t="s">
        <v>107</v>
      </c>
      <c r="D13" s="4" t="s">
        <v>155</v>
      </c>
      <c r="E13" s="4" t="s">
        <v>156</v>
      </c>
      <c r="F13" s="4" t="s">
        <v>157</v>
      </c>
      <c r="G13" s="10" t="s">
        <v>103</v>
      </c>
      <c r="H13" s="19" t="s">
        <v>65</v>
      </c>
      <c r="I13" s="18" t="s">
        <v>90</v>
      </c>
      <c r="J13" s="18" t="s">
        <v>104</v>
      </c>
      <c r="K13" s="10" t="s">
        <v>158</v>
      </c>
    </row>
    <row r="14" spans="1:11" ht="42.75" customHeight="1" x14ac:dyDescent="0.3">
      <c r="A14" s="18" t="s">
        <v>159</v>
      </c>
      <c r="B14" s="4" t="s">
        <v>160</v>
      </c>
      <c r="C14" s="4" t="s">
        <v>161</v>
      </c>
      <c r="D14" s="4" t="s">
        <v>162</v>
      </c>
      <c r="E14" s="4" t="s">
        <v>163</v>
      </c>
      <c r="F14" s="4" t="s">
        <v>164</v>
      </c>
      <c r="G14" s="10" t="s">
        <v>103</v>
      </c>
      <c r="H14" s="19" t="s">
        <v>65</v>
      </c>
      <c r="I14" s="18" t="s">
        <v>89</v>
      </c>
      <c r="J14" s="18" t="s">
        <v>104</v>
      </c>
      <c r="K14" s="10"/>
    </row>
    <row r="15" spans="1:11" ht="30" customHeight="1" x14ac:dyDescent="0.3">
      <c r="A15" s="18" t="s">
        <v>165</v>
      </c>
      <c r="B15" s="4" t="s">
        <v>166</v>
      </c>
      <c r="C15" s="4" t="s">
        <v>107</v>
      </c>
      <c r="D15" s="4" t="s">
        <v>167</v>
      </c>
      <c r="E15" s="4" t="s">
        <v>168</v>
      </c>
      <c r="F15" s="4" t="s">
        <v>169</v>
      </c>
      <c r="G15" s="10" t="s">
        <v>103</v>
      </c>
      <c r="H15" s="19" t="s">
        <v>65</v>
      </c>
      <c r="I15" s="18" t="s">
        <v>91</v>
      </c>
      <c r="J15" s="18" t="s">
        <v>104</v>
      </c>
      <c r="K15" s="10"/>
    </row>
  </sheetData>
  <autoFilter ref="A1:K15" xr:uid="{00000000-0009-0000-0000-000003000000}"/>
  <conditionalFormatting sqref="H2:H500">
    <cfRule type="cellIs" dxfId="32" priority="2" operator="equal">
      <formula>"Pass"</formula>
    </cfRule>
    <cfRule type="cellIs" dxfId="31" priority="3" operator="equal">
      <formula>"Fail"</formula>
    </cfRule>
    <cfRule type="cellIs" dxfId="30" priority="4" operator="equal">
      <formula>"Blocked"</formula>
    </cfRule>
  </conditionalFormatting>
  <dataValidations count="3">
    <dataValidation type="list" allowBlank="1" sqref="H2:H500" xr:uid="{00000000-0002-0000-0300-000000000000}">
      <formula1>"Not Run,Pass,Fail,Blocked"</formula1>
      <formula2>0</formula2>
    </dataValidation>
    <dataValidation type="list" allowBlank="1" sqref="I2:I500" xr:uid="{00000000-0002-0000-0300-000001000000}">
      <formula1>"Critical,Major,Minor,Trivial"</formula1>
      <formula2>0</formula2>
    </dataValidation>
    <dataValidation type="list" allowBlank="1" sqref="J2:J500" xr:uid="{00000000-0002-0000-03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42.75" customHeight="1" x14ac:dyDescent="0.3">
      <c r="A2" s="18" t="s">
        <v>170</v>
      </c>
      <c r="B2" s="4" t="s">
        <v>171</v>
      </c>
      <c r="C2" s="4" t="s">
        <v>172</v>
      </c>
      <c r="D2" s="4" t="s">
        <v>173</v>
      </c>
      <c r="E2" s="4" t="s">
        <v>174</v>
      </c>
      <c r="F2" s="4" t="s">
        <v>175</v>
      </c>
      <c r="G2" s="10" t="s">
        <v>103</v>
      </c>
      <c r="H2" s="19" t="s">
        <v>65</v>
      </c>
      <c r="I2" s="18" t="s">
        <v>88</v>
      </c>
      <c r="J2" s="18" t="s">
        <v>104</v>
      </c>
      <c r="K2" s="10"/>
    </row>
    <row r="3" spans="1:11" ht="42.75" customHeight="1" x14ac:dyDescent="0.3">
      <c r="A3" s="18" t="s">
        <v>176</v>
      </c>
      <c r="B3" s="4" t="s">
        <v>177</v>
      </c>
      <c r="C3" s="4" t="s">
        <v>178</v>
      </c>
      <c r="D3" s="4" t="s">
        <v>179</v>
      </c>
      <c r="E3" s="4" t="s">
        <v>180</v>
      </c>
      <c r="F3" s="4" t="s">
        <v>181</v>
      </c>
      <c r="G3" s="10" t="s">
        <v>103</v>
      </c>
      <c r="H3" s="19" t="s">
        <v>65</v>
      </c>
      <c r="I3" s="18" t="s">
        <v>89</v>
      </c>
      <c r="J3" s="18" t="s">
        <v>104</v>
      </c>
      <c r="K3" s="10" t="s">
        <v>182</v>
      </c>
    </row>
    <row r="4" spans="1:11" ht="30" customHeight="1" x14ac:dyDescent="0.3">
      <c r="A4" s="18" t="s">
        <v>183</v>
      </c>
      <c r="B4" s="4" t="s">
        <v>184</v>
      </c>
      <c r="C4" s="4" t="s">
        <v>178</v>
      </c>
      <c r="D4" s="4" t="s">
        <v>185</v>
      </c>
      <c r="E4" s="4" t="s">
        <v>186</v>
      </c>
      <c r="F4" s="4" t="s">
        <v>187</v>
      </c>
      <c r="G4" s="10" t="s">
        <v>103</v>
      </c>
      <c r="H4" s="19" t="s">
        <v>65</v>
      </c>
      <c r="I4" s="18" t="s">
        <v>89</v>
      </c>
      <c r="J4" s="18" t="s">
        <v>104</v>
      </c>
      <c r="K4" s="10"/>
    </row>
    <row r="5" spans="1:11" ht="30" customHeight="1" x14ac:dyDescent="0.3">
      <c r="A5" s="18" t="s">
        <v>188</v>
      </c>
      <c r="B5" s="4" t="s">
        <v>189</v>
      </c>
      <c r="C5" s="4" t="s">
        <v>178</v>
      </c>
      <c r="D5" s="4" t="s">
        <v>190</v>
      </c>
      <c r="E5" s="4" t="s">
        <v>191</v>
      </c>
      <c r="F5" s="4" t="s">
        <v>192</v>
      </c>
      <c r="G5" s="10" t="s">
        <v>193</v>
      </c>
      <c r="H5" s="19" t="s">
        <v>34</v>
      </c>
      <c r="I5" s="18" t="s">
        <v>90</v>
      </c>
      <c r="J5" s="18" t="s">
        <v>104</v>
      </c>
      <c r="K5" s="10" t="s">
        <v>194</v>
      </c>
    </row>
    <row r="6" spans="1:11" ht="30" customHeight="1" x14ac:dyDescent="0.3">
      <c r="A6" s="18" t="s">
        <v>195</v>
      </c>
      <c r="B6" s="4" t="s">
        <v>166</v>
      </c>
      <c r="C6" s="4" t="s">
        <v>178</v>
      </c>
      <c r="D6" s="4" t="s">
        <v>167</v>
      </c>
      <c r="E6" s="4" t="s">
        <v>196</v>
      </c>
      <c r="F6" s="4" t="s">
        <v>197</v>
      </c>
      <c r="G6" s="10" t="s">
        <v>103</v>
      </c>
      <c r="H6" s="19" t="s">
        <v>65</v>
      </c>
      <c r="I6" s="18" t="s">
        <v>91</v>
      </c>
      <c r="J6" s="18" t="s">
        <v>104</v>
      </c>
      <c r="K6" s="10"/>
    </row>
    <row r="7" spans="1:11" ht="42.75" customHeight="1" x14ac:dyDescent="0.3">
      <c r="A7" s="18" t="s">
        <v>198</v>
      </c>
      <c r="B7" s="4" t="s">
        <v>199</v>
      </c>
      <c r="C7" s="4" t="s">
        <v>200</v>
      </c>
      <c r="D7" s="4" t="s">
        <v>201</v>
      </c>
      <c r="E7" s="4" t="s">
        <v>174</v>
      </c>
      <c r="F7" s="4" t="s">
        <v>202</v>
      </c>
      <c r="G7" s="10" t="s">
        <v>103</v>
      </c>
      <c r="H7" s="19" t="s">
        <v>65</v>
      </c>
      <c r="I7" s="18" t="s">
        <v>89</v>
      </c>
      <c r="J7" s="18" t="s">
        <v>104</v>
      </c>
      <c r="K7" s="10"/>
    </row>
    <row r="8" spans="1:11" ht="30" customHeight="1" x14ac:dyDescent="0.3">
      <c r="A8" s="18" t="s">
        <v>203</v>
      </c>
      <c r="B8" s="4" t="s">
        <v>204</v>
      </c>
      <c r="C8" s="4" t="s">
        <v>205</v>
      </c>
      <c r="D8" s="4" t="s">
        <v>206</v>
      </c>
      <c r="E8" s="4" t="s">
        <v>207</v>
      </c>
      <c r="F8" s="4" t="s">
        <v>208</v>
      </c>
      <c r="G8" s="10" t="s">
        <v>103</v>
      </c>
      <c r="H8" s="19" t="s">
        <v>65</v>
      </c>
      <c r="I8" s="18" t="s">
        <v>89</v>
      </c>
      <c r="J8" s="18" t="s">
        <v>104</v>
      </c>
      <c r="K8" s="10"/>
    </row>
    <row r="9" spans="1:11" ht="30" customHeight="1" x14ac:dyDescent="0.3">
      <c r="A9" s="18" t="s">
        <v>209</v>
      </c>
      <c r="B9" s="4" t="s">
        <v>210</v>
      </c>
      <c r="C9" s="4" t="s">
        <v>211</v>
      </c>
      <c r="D9" s="4" t="s">
        <v>212</v>
      </c>
      <c r="E9" s="4" t="s">
        <v>207</v>
      </c>
      <c r="F9" s="4" t="s">
        <v>213</v>
      </c>
      <c r="G9" s="10" t="s">
        <v>103</v>
      </c>
      <c r="H9" s="19" t="s">
        <v>65</v>
      </c>
      <c r="I9" s="18" t="s">
        <v>89</v>
      </c>
      <c r="J9" s="18" t="s">
        <v>104</v>
      </c>
      <c r="K9" s="10"/>
    </row>
    <row r="10" spans="1:11" ht="42.75" customHeight="1" x14ac:dyDescent="0.3">
      <c r="A10" s="18" t="s">
        <v>214</v>
      </c>
      <c r="B10" s="4" t="s">
        <v>215</v>
      </c>
      <c r="C10" s="4" t="s">
        <v>211</v>
      </c>
      <c r="D10" s="4" t="s">
        <v>216</v>
      </c>
      <c r="E10" s="4" t="s">
        <v>207</v>
      </c>
      <c r="F10" s="4" t="s">
        <v>217</v>
      </c>
      <c r="G10" s="10" t="s">
        <v>103</v>
      </c>
      <c r="H10" s="19" t="s">
        <v>65</v>
      </c>
      <c r="I10" s="18" t="s">
        <v>89</v>
      </c>
      <c r="J10" s="18" t="s">
        <v>104</v>
      </c>
      <c r="K10" s="10"/>
    </row>
    <row r="11" spans="1:11" ht="30" customHeight="1" x14ac:dyDescent="0.3">
      <c r="A11" s="18" t="s">
        <v>218</v>
      </c>
      <c r="B11" s="4" t="s">
        <v>219</v>
      </c>
      <c r="C11" s="4" t="s">
        <v>178</v>
      </c>
      <c r="D11" s="4" t="s">
        <v>220</v>
      </c>
      <c r="E11" s="4" t="s">
        <v>221</v>
      </c>
      <c r="F11" s="4" t="s">
        <v>222</v>
      </c>
      <c r="G11" s="10"/>
      <c r="H11" s="19" t="s">
        <v>67</v>
      </c>
      <c r="I11" s="18" t="s">
        <v>88</v>
      </c>
      <c r="J11" s="18" t="s">
        <v>223</v>
      </c>
      <c r="K11" s="10" t="s">
        <v>224</v>
      </c>
    </row>
    <row r="12" spans="1:11" ht="30" customHeight="1" x14ac:dyDescent="0.3">
      <c r="A12" s="18" t="s">
        <v>225</v>
      </c>
      <c r="B12" s="4" t="s">
        <v>226</v>
      </c>
      <c r="C12" s="4" t="s">
        <v>178</v>
      </c>
      <c r="D12" s="4" t="s">
        <v>227</v>
      </c>
      <c r="E12" s="4" t="s">
        <v>228</v>
      </c>
      <c r="F12" s="4" t="s">
        <v>229</v>
      </c>
      <c r="G12" s="10" t="s">
        <v>103</v>
      </c>
      <c r="H12" s="19" t="s">
        <v>65</v>
      </c>
      <c r="I12" s="18" t="s">
        <v>89</v>
      </c>
      <c r="J12" s="18" t="s">
        <v>104</v>
      </c>
      <c r="K12" s="10"/>
    </row>
    <row r="13" spans="1:11" ht="30" customHeight="1" x14ac:dyDescent="0.3">
      <c r="A13" s="18" t="s">
        <v>230</v>
      </c>
      <c r="B13" s="4" t="s">
        <v>231</v>
      </c>
      <c r="C13" s="4" t="s">
        <v>178</v>
      </c>
      <c r="D13" s="4" t="s">
        <v>232</v>
      </c>
      <c r="E13" s="4" t="s">
        <v>207</v>
      </c>
      <c r="F13" s="4" t="s">
        <v>233</v>
      </c>
      <c r="G13" s="10"/>
      <c r="H13" s="19" t="s">
        <v>67</v>
      </c>
      <c r="I13" s="18" t="s">
        <v>90</v>
      </c>
      <c r="J13" s="18" t="s">
        <v>223</v>
      </c>
      <c r="K13" s="10"/>
    </row>
  </sheetData>
  <autoFilter ref="A1:K13" xr:uid="{00000000-0009-0000-0000-000004000000}"/>
  <conditionalFormatting sqref="H2:H500">
    <cfRule type="cellIs" dxfId="29" priority="2" operator="equal">
      <formula>"Pass"</formula>
    </cfRule>
    <cfRule type="cellIs" dxfId="28" priority="3" operator="equal">
      <formula>"Fail"</formula>
    </cfRule>
    <cfRule type="cellIs" dxfId="27" priority="4" operator="equal">
      <formula>"Blocked"</formula>
    </cfRule>
  </conditionalFormatting>
  <dataValidations count="3">
    <dataValidation type="list" allowBlank="1" sqref="H2:H500" xr:uid="{00000000-0002-0000-0400-000000000000}">
      <formula1>"Not Run,Pass,Fail,Blocked"</formula1>
      <formula2>0</formula2>
    </dataValidation>
    <dataValidation type="list" allowBlank="1" sqref="I2:I500" xr:uid="{00000000-0002-0000-0400-000001000000}">
      <formula1>"Critical,Major,Minor,Trivial"</formula1>
      <formula2>0</formula2>
    </dataValidation>
    <dataValidation type="list" allowBlank="1" sqref="J2:J500" xr:uid="{00000000-0002-0000-04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30" customHeight="1" x14ac:dyDescent="0.3">
      <c r="A2" s="18" t="s">
        <v>234</v>
      </c>
      <c r="B2" s="4" t="s">
        <v>235</v>
      </c>
      <c r="C2" s="4" t="s">
        <v>236</v>
      </c>
      <c r="D2" s="4" t="s">
        <v>237</v>
      </c>
      <c r="E2" s="4" t="s">
        <v>207</v>
      </c>
      <c r="F2" s="4" t="s">
        <v>238</v>
      </c>
      <c r="G2" s="10" t="s">
        <v>103</v>
      </c>
      <c r="H2" s="19" t="s">
        <v>65</v>
      </c>
      <c r="I2" s="18" t="s">
        <v>89</v>
      </c>
      <c r="J2" s="18" t="s">
        <v>104</v>
      </c>
      <c r="K2" s="10"/>
    </row>
    <row r="3" spans="1:11" ht="30" customHeight="1" x14ac:dyDescent="0.3">
      <c r="A3" s="18" t="s">
        <v>239</v>
      </c>
      <c r="B3" s="4" t="s">
        <v>240</v>
      </c>
      <c r="C3" s="4" t="s">
        <v>207</v>
      </c>
      <c r="D3" s="4" t="s">
        <v>241</v>
      </c>
      <c r="E3" s="4" t="s">
        <v>207</v>
      </c>
      <c r="F3" s="4" t="s">
        <v>242</v>
      </c>
      <c r="G3" s="10" t="s">
        <v>103</v>
      </c>
      <c r="H3" s="19" t="s">
        <v>65</v>
      </c>
      <c r="I3" s="18" t="s">
        <v>89</v>
      </c>
      <c r="J3" s="18" t="s">
        <v>104</v>
      </c>
      <c r="K3" s="10"/>
    </row>
    <row r="4" spans="1:11" ht="30" customHeight="1" x14ac:dyDescent="0.3">
      <c r="A4" s="18" t="s">
        <v>243</v>
      </c>
      <c r="B4" s="4" t="s">
        <v>244</v>
      </c>
      <c r="C4" s="4" t="s">
        <v>207</v>
      </c>
      <c r="D4" s="4" t="s">
        <v>245</v>
      </c>
      <c r="E4" s="4" t="s">
        <v>207</v>
      </c>
      <c r="F4" s="4" t="s">
        <v>246</v>
      </c>
      <c r="G4" s="10" t="s">
        <v>103</v>
      </c>
      <c r="H4" s="19" t="s">
        <v>65</v>
      </c>
      <c r="I4" s="18" t="s">
        <v>89</v>
      </c>
      <c r="J4" s="18" t="s">
        <v>104</v>
      </c>
      <c r="K4" s="10"/>
    </row>
    <row r="5" spans="1:11" ht="30" customHeight="1" x14ac:dyDescent="0.3">
      <c r="A5" s="18" t="s">
        <v>247</v>
      </c>
      <c r="B5" s="4" t="s">
        <v>248</v>
      </c>
      <c r="C5" s="4" t="s">
        <v>207</v>
      </c>
      <c r="D5" s="4" t="s">
        <v>249</v>
      </c>
      <c r="E5" s="4" t="s">
        <v>207</v>
      </c>
      <c r="F5" s="4" t="s">
        <v>250</v>
      </c>
      <c r="G5" s="10" t="s">
        <v>103</v>
      </c>
      <c r="H5" s="19" t="s">
        <v>65</v>
      </c>
      <c r="I5" s="18" t="s">
        <v>89</v>
      </c>
      <c r="J5" s="18" t="s">
        <v>104</v>
      </c>
      <c r="K5" s="10"/>
    </row>
    <row r="6" spans="1:11" ht="42.75" customHeight="1" x14ac:dyDescent="0.3">
      <c r="A6" s="18" t="s">
        <v>251</v>
      </c>
      <c r="B6" s="4" t="s">
        <v>252</v>
      </c>
      <c r="C6" s="4" t="s">
        <v>253</v>
      </c>
      <c r="D6" s="4" t="s">
        <v>254</v>
      </c>
      <c r="E6" s="4" t="s">
        <v>255</v>
      </c>
      <c r="F6" s="4" t="s">
        <v>256</v>
      </c>
      <c r="G6" s="10" t="s">
        <v>103</v>
      </c>
      <c r="H6" s="19" t="s">
        <v>65</v>
      </c>
      <c r="I6" s="18" t="s">
        <v>89</v>
      </c>
      <c r="J6" s="18" t="s">
        <v>104</v>
      </c>
      <c r="K6" s="10"/>
    </row>
    <row r="7" spans="1:11" ht="42.75" customHeight="1" x14ac:dyDescent="0.3">
      <c r="A7" s="18" t="s">
        <v>257</v>
      </c>
      <c r="B7" s="4" t="s">
        <v>258</v>
      </c>
      <c r="C7" s="4" t="s">
        <v>253</v>
      </c>
      <c r="D7" s="4" t="s">
        <v>259</v>
      </c>
      <c r="E7" s="4" t="s">
        <v>260</v>
      </c>
      <c r="F7" s="4" t="s">
        <v>261</v>
      </c>
      <c r="G7" s="10" t="s">
        <v>103</v>
      </c>
      <c r="H7" s="19" t="s">
        <v>65</v>
      </c>
      <c r="I7" s="18" t="s">
        <v>89</v>
      </c>
      <c r="J7" s="18" t="s">
        <v>104</v>
      </c>
      <c r="K7" s="10"/>
    </row>
    <row r="8" spans="1:11" ht="16.5" customHeight="1" x14ac:dyDescent="0.3">
      <c r="A8" s="18" t="s">
        <v>262</v>
      </c>
      <c r="B8" s="4" t="s">
        <v>263</v>
      </c>
      <c r="C8" s="4" t="s">
        <v>253</v>
      </c>
      <c r="D8" s="4" t="s">
        <v>264</v>
      </c>
      <c r="E8" s="4" t="s">
        <v>265</v>
      </c>
      <c r="F8" s="4" t="s">
        <v>266</v>
      </c>
      <c r="G8" s="10" t="s">
        <v>103</v>
      </c>
      <c r="H8" s="19" t="s">
        <v>65</v>
      </c>
      <c r="I8" s="18" t="s">
        <v>89</v>
      </c>
      <c r="J8" s="18" t="s">
        <v>104</v>
      </c>
      <c r="K8" s="10"/>
    </row>
    <row r="9" spans="1:11" ht="30" customHeight="1" x14ac:dyDescent="0.3">
      <c r="A9" s="18" t="s">
        <v>267</v>
      </c>
      <c r="B9" s="4" t="s">
        <v>268</v>
      </c>
      <c r="C9" s="4" t="s">
        <v>253</v>
      </c>
      <c r="D9" s="4" t="s">
        <v>269</v>
      </c>
      <c r="E9" s="4" t="s">
        <v>270</v>
      </c>
      <c r="F9" s="4" t="s">
        <v>271</v>
      </c>
      <c r="G9" s="10" t="s">
        <v>103</v>
      </c>
      <c r="H9" s="19" t="s">
        <v>65</v>
      </c>
      <c r="I9" s="18" t="s">
        <v>89</v>
      </c>
      <c r="J9" s="18" t="s">
        <v>104</v>
      </c>
      <c r="K9" s="10"/>
    </row>
    <row r="10" spans="1:11" ht="16.5" customHeight="1" x14ac:dyDescent="0.3">
      <c r="A10" s="18" t="s">
        <v>272</v>
      </c>
      <c r="B10" s="4" t="s">
        <v>273</v>
      </c>
      <c r="C10" s="4" t="s">
        <v>253</v>
      </c>
      <c r="D10" s="4" t="s">
        <v>274</v>
      </c>
      <c r="E10" s="4" t="s">
        <v>275</v>
      </c>
      <c r="F10" s="4" t="s">
        <v>276</v>
      </c>
      <c r="G10" s="10" t="s">
        <v>277</v>
      </c>
      <c r="H10" s="19" t="s">
        <v>34</v>
      </c>
      <c r="I10" s="18" t="s">
        <v>89</v>
      </c>
      <c r="J10" s="18" t="s">
        <v>104</v>
      </c>
      <c r="K10" s="10" t="s">
        <v>278</v>
      </c>
    </row>
    <row r="11" spans="1:11" ht="30" customHeight="1" x14ac:dyDescent="0.3">
      <c r="A11" s="18" t="s">
        <v>279</v>
      </c>
      <c r="B11" s="4" t="s">
        <v>280</v>
      </c>
      <c r="C11" s="4" t="s">
        <v>253</v>
      </c>
      <c r="D11" s="4" t="s">
        <v>281</v>
      </c>
      <c r="E11" s="4" t="s">
        <v>282</v>
      </c>
      <c r="F11" s="4" t="s">
        <v>283</v>
      </c>
      <c r="G11" s="10" t="s">
        <v>103</v>
      </c>
      <c r="H11" s="19" t="s">
        <v>65</v>
      </c>
      <c r="I11" s="18" t="s">
        <v>89</v>
      </c>
      <c r="J11" s="18" t="s">
        <v>104</v>
      </c>
      <c r="K11" s="10"/>
    </row>
    <row r="12" spans="1:11" ht="30" customHeight="1" x14ac:dyDescent="0.3">
      <c r="A12" s="18" t="s">
        <v>284</v>
      </c>
      <c r="B12" s="4" t="s">
        <v>285</v>
      </c>
      <c r="C12" s="4" t="s">
        <v>286</v>
      </c>
      <c r="D12" s="4" t="s">
        <v>287</v>
      </c>
      <c r="E12" s="4" t="s">
        <v>288</v>
      </c>
      <c r="F12" s="4" t="s">
        <v>289</v>
      </c>
      <c r="G12" s="10"/>
      <c r="H12" s="19" t="s">
        <v>67</v>
      </c>
      <c r="I12" s="18" t="s">
        <v>90</v>
      </c>
      <c r="J12" s="18" t="s">
        <v>223</v>
      </c>
      <c r="K12" s="10" t="s">
        <v>290</v>
      </c>
    </row>
    <row r="13" spans="1:11" ht="30" customHeight="1" x14ac:dyDescent="0.3">
      <c r="A13" s="18" t="s">
        <v>291</v>
      </c>
      <c r="B13" s="4" t="s">
        <v>292</v>
      </c>
      <c r="C13" s="4" t="s">
        <v>253</v>
      </c>
      <c r="D13" s="4" t="s">
        <v>293</v>
      </c>
      <c r="E13" s="4" t="s">
        <v>294</v>
      </c>
      <c r="F13" s="4" t="s">
        <v>295</v>
      </c>
      <c r="G13" s="10" t="s">
        <v>296</v>
      </c>
      <c r="H13" s="19" t="s">
        <v>66</v>
      </c>
      <c r="I13" s="18" t="s">
        <v>90</v>
      </c>
      <c r="J13" s="18" t="s">
        <v>104</v>
      </c>
      <c r="K13" s="10"/>
    </row>
    <row r="14" spans="1:11" ht="42.75" customHeight="1" x14ac:dyDescent="0.3">
      <c r="A14" s="18" t="s">
        <v>297</v>
      </c>
      <c r="B14" s="4" t="s">
        <v>298</v>
      </c>
      <c r="C14" s="4" t="s">
        <v>253</v>
      </c>
      <c r="D14" s="4" t="s">
        <v>299</v>
      </c>
      <c r="E14" s="4" t="s">
        <v>300</v>
      </c>
      <c r="F14" s="4" t="s">
        <v>301</v>
      </c>
      <c r="G14" s="10" t="s">
        <v>103</v>
      </c>
      <c r="H14" s="19" t="s">
        <v>65</v>
      </c>
      <c r="I14" s="18" t="s">
        <v>90</v>
      </c>
      <c r="J14" s="18" t="s">
        <v>104</v>
      </c>
      <c r="K14" s="10"/>
    </row>
    <row r="15" spans="1:11" ht="30" customHeight="1" x14ac:dyDescent="0.3">
      <c r="A15" s="18" t="s">
        <v>302</v>
      </c>
      <c r="B15" s="4" t="s">
        <v>303</v>
      </c>
      <c r="C15" s="4" t="s">
        <v>286</v>
      </c>
      <c r="D15" s="4" t="s">
        <v>304</v>
      </c>
      <c r="E15" s="4" t="s">
        <v>305</v>
      </c>
      <c r="F15" s="4" t="s">
        <v>306</v>
      </c>
      <c r="G15" s="10"/>
      <c r="H15" s="19" t="s">
        <v>67</v>
      </c>
      <c r="I15" s="18" t="s">
        <v>90</v>
      </c>
      <c r="J15" s="18" t="s">
        <v>223</v>
      </c>
      <c r="K15" s="10"/>
    </row>
    <row r="16" spans="1:11" ht="30" customHeight="1" x14ac:dyDescent="0.3">
      <c r="A16" s="18" t="s">
        <v>307</v>
      </c>
      <c r="B16" s="4" t="s">
        <v>308</v>
      </c>
      <c r="C16" s="4" t="s">
        <v>207</v>
      </c>
      <c r="D16" s="4" t="s">
        <v>309</v>
      </c>
      <c r="E16" s="4" t="s">
        <v>310</v>
      </c>
      <c r="F16" s="4" t="s">
        <v>311</v>
      </c>
      <c r="G16" s="10"/>
      <c r="H16" s="19" t="s">
        <v>67</v>
      </c>
      <c r="I16" s="18" t="s">
        <v>90</v>
      </c>
      <c r="J16" s="18" t="s">
        <v>223</v>
      </c>
      <c r="K16" s="10" t="s">
        <v>312</v>
      </c>
    </row>
  </sheetData>
  <autoFilter ref="A1:K16" xr:uid="{00000000-0009-0000-0000-000005000000}"/>
  <conditionalFormatting sqref="H2:H500">
    <cfRule type="cellIs" dxfId="26" priority="2" operator="equal">
      <formula>"Pass"</formula>
    </cfRule>
    <cfRule type="cellIs" dxfId="25" priority="3" operator="equal">
      <formula>"Fail"</formula>
    </cfRule>
    <cfRule type="cellIs" dxfId="24" priority="4" operator="equal">
      <formula>"Blocked"</formula>
    </cfRule>
  </conditionalFormatting>
  <dataValidations count="3">
    <dataValidation type="list" allowBlank="1" sqref="H2:H500" xr:uid="{00000000-0002-0000-0500-000000000000}">
      <formula1>"Not Run,Pass,Fail,Blocked"</formula1>
      <formula2>0</formula2>
    </dataValidation>
    <dataValidation type="list" allowBlank="1" sqref="I2:I500" xr:uid="{00000000-0002-0000-0500-000001000000}">
      <formula1>"Critical,Major,Minor,Trivial"</formula1>
      <formula2>0</formula2>
    </dataValidation>
    <dataValidation type="list" allowBlank="1" sqref="J2:J500" xr:uid="{00000000-0002-0000-05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42.75" customHeight="1" x14ac:dyDescent="0.3">
      <c r="A2" s="18" t="s">
        <v>313</v>
      </c>
      <c r="B2" s="4" t="s">
        <v>314</v>
      </c>
      <c r="C2" s="4" t="s">
        <v>207</v>
      </c>
      <c r="D2" s="4" t="s">
        <v>315</v>
      </c>
      <c r="E2" s="4" t="s">
        <v>316</v>
      </c>
      <c r="F2" s="4" t="s">
        <v>317</v>
      </c>
      <c r="G2" s="10" t="s">
        <v>103</v>
      </c>
      <c r="H2" s="19" t="s">
        <v>65</v>
      </c>
      <c r="I2" s="18" t="s">
        <v>89</v>
      </c>
      <c r="J2" s="18" t="s">
        <v>104</v>
      </c>
      <c r="K2" s="10"/>
    </row>
    <row r="3" spans="1:11" ht="30" customHeight="1" x14ac:dyDescent="0.3">
      <c r="A3" s="18" t="s">
        <v>318</v>
      </c>
      <c r="B3" s="4" t="s">
        <v>319</v>
      </c>
      <c r="C3" s="4" t="s">
        <v>320</v>
      </c>
      <c r="D3" s="4" t="s">
        <v>321</v>
      </c>
      <c r="E3" s="4" t="s">
        <v>207</v>
      </c>
      <c r="F3" s="4" t="s">
        <v>322</v>
      </c>
      <c r="G3" s="10" t="s">
        <v>103</v>
      </c>
      <c r="H3" s="19" t="s">
        <v>65</v>
      </c>
      <c r="I3" s="18" t="s">
        <v>89</v>
      </c>
      <c r="J3" s="18" t="s">
        <v>104</v>
      </c>
      <c r="K3" s="10"/>
    </row>
    <row r="4" spans="1:11" ht="42.75" customHeight="1" x14ac:dyDescent="0.3">
      <c r="A4" s="18" t="s">
        <v>323</v>
      </c>
      <c r="B4" s="4" t="s">
        <v>324</v>
      </c>
      <c r="C4" s="4" t="s">
        <v>320</v>
      </c>
      <c r="D4" s="4" t="s">
        <v>325</v>
      </c>
      <c r="E4" s="4" t="s">
        <v>326</v>
      </c>
      <c r="F4" s="4" t="s">
        <v>327</v>
      </c>
      <c r="G4" s="10" t="s">
        <v>103</v>
      </c>
      <c r="H4" s="19" t="s">
        <v>65</v>
      </c>
      <c r="I4" s="18" t="s">
        <v>88</v>
      </c>
      <c r="J4" s="18" t="s">
        <v>104</v>
      </c>
      <c r="K4" s="10"/>
    </row>
    <row r="5" spans="1:11" ht="42.75" customHeight="1" x14ac:dyDescent="0.3">
      <c r="A5" s="18" t="s">
        <v>328</v>
      </c>
      <c r="B5" s="4" t="s">
        <v>329</v>
      </c>
      <c r="C5" s="4" t="s">
        <v>320</v>
      </c>
      <c r="D5" s="4" t="s">
        <v>330</v>
      </c>
      <c r="E5" s="4" t="s">
        <v>207</v>
      </c>
      <c r="F5" s="4" t="s">
        <v>331</v>
      </c>
      <c r="G5" s="10" t="s">
        <v>103</v>
      </c>
      <c r="H5" s="19" t="s">
        <v>65</v>
      </c>
      <c r="I5" s="18" t="s">
        <v>89</v>
      </c>
      <c r="J5" s="18" t="s">
        <v>104</v>
      </c>
      <c r="K5" s="10"/>
    </row>
    <row r="6" spans="1:11" ht="30" customHeight="1" x14ac:dyDescent="0.3">
      <c r="A6" s="18" t="s">
        <v>332</v>
      </c>
      <c r="B6" s="4" t="s">
        <v>333</v>
      </c>
      <c r="C6" s="4" t="s">
        <v>207</v>
      </c>
      <c r="D6" s="4" t="s">
        <v>334</v>
      </c>
      <c r="E6" s="4" t="s">
        <v>335</v>
      </c>
      <c r="F6" s="4" t="s">
        <v>336</v>
      </c>
      <c r="G6" s="10"/>
      <c r="H6" s="19" t="s">
        <v>67</v>
      </c>
      <c r="I6" s="18" t="s">
        <v>90</v>
      </c>
      <c r="J6" s="18" t="s">
        <v>223</v>
      </c>
      <c r="K6" s="10"/>
    </row>
    <row r="7" spans="1:11" ht="30" customHeight="1" x14ac:dyDescent="0.3">
      <c r="A7" s="18" t="s">
        <v>337</v>
      </c>
      <c r="B7" s="4" t="s">
        <v>338</v>
      </c>
      <c r="C7" s="4" t="s">
        <v>207</v>
      </c>
      <c r="D7" s="4" t="s">
        <v>339</v>
      </c>
      <c r="E7" s="4" t="s">
        <v>340</v>
      </c>
      <c r="F7" s="4" t="s">
        <v>341</v>
      </c>
      <c r="G7" s="10"/>
      <c r="H7" s="19" t="s">
        <v>67</v>
      </c>
      <c r="I7" s="18" t="s">
        <v>90</v>
      </c>
      <c r="J7" s="18" t="s">
        <v>223</v>
      </c>
      <c r="K7" s="10"/>
    </row>
    <row r="8" spans="1:11" ht="30" customHeight="1" x14ac:dyDescent="0.3">
      <c r="A8" s="18" t="s">
        <v>342</v>
      </c>
      <c r="B8" s="4" t="s">
        <v>343</v>
      </c>
      <c r="C8" s="4" t="s">
        <v>207</v>
      </c>
      <c r="D8" s="4" t="s">
        <v>344</v>
      </c>
      <c r="E8" s="4" t="s">
        <v>345</v>
      </c>
      <c r="F8" s="4" t="s">
        <v>346</v>
      </c>
      <c r="G8" s="10" t="s">
        <v>103</v>
      </c>
      <c r="H8" s="19" t="s">
        <v>65</v>
      </c>
      <c r="I8" s="18" t="s">
        <v>90</v>
      </c>
      <c r="J8" s="18" t="s">
        <v>104</v>
      </c>
      <c r="K8" s="10"/>
    </row>
    <row r="9" spans="1:11" ht="42.75" customHeight="1" x14ac:dyDescent="0.3">
      <c r="A9" s="18" t="s">
        <v>347</v>
      </c>
      <c r="B9" s="4" t="s">
        <v>348</v>
      </c>
      <c r="C9" s="4" t="s">
        <v>207</v>
      </c>
      <c r="D9" s="4" t="s">
        <v>349</v>
      </c>
      <c r="E9" s="4" t="s">
        <v>350</v>
      </c>
      <c r="F9" s="4" t="s">
        <v>351</v>
      </c>
      <c r="G9" s="10" t="s">
        <v>103</v>
      </c>
      <c r="H9" s="19" t="s">
        <v>65</v>
      </c>
      <c r="I9" s="18" t="s">
        <v>89</v>
      </c>
      <c r="J9" s="18" t="s">
        <v>104</v>
      </c>
      <c r="K9" s="10"/>
    </row>
  </sheetData>
  <autoFilter ref="A1:K9" xr:uid="{00000000-0009-0000-0000-000006000000}"/>
  <conditionalFormatting sqref="H2:H500">
    <cfRule type="cellIs" dxfId="23" priority="2" operator="equal">
      <formula>"Pass"</formula>
    </cfRule>
    <cfRule type="cellIs" dxfId="22" priority="3" operator="equal">
      <formula>"Fail"</formula>
    </cfRule>
    <cfRule type="cellIs" dxfId="21" priority="4" operator="equal">
      <formula>"Blocked"</formula>
    </cfRule>
  </conditionalFormatting>
  <dataValidations count="3">
    <dataValidation type="list" allowBlank="1" sqref="H2:H500" xr:uid="{00000000-0002-0000-0600-000000000000}">
      <formula1>"Not Run,Pass,Fail,Blocked"</formula1>
      <formula2>0</formula2>
    </dataValidation>
    <dataValidation type="list" allowBlank="1" sqref="I2:I500" xr:uid="{00000000-0002-0000-0600-000001000000}">
      <formula1>"Critical,Major,Minor,Trivial"</formula1>
      <formula2>0</formula2>
    </dataValidation>
    <dataValidation type="list" allowBlank="1" sqref="J2:J500" xr:uid="{00000000-0002-0000-06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30" customHeight="1" x14ac:dyDescent="0.3">
      <c r="A2" s="18" t="s">
        <v>352</v>
      </c>
      <c r="B2" s="4" t="s">
        <v>353</v>
      </c>
      <c r="C2" s="4" t="s">
        <v>354</v>
      </c>
      <c r="D2" s="4" t="s">
        <v>355</v>
      </c>
      <c r="E2" s="4" t="s">
        <v>207</v>
      </c>
      <c r="F2" s="4" t="s">
        <v>356</v>
      </c>
      <c r="G2" s="10" t="s">
        <v>103</v>
      </c>
      <c r="H2" s="19" t="s">
        <v>65</v>
      </c>
      <c r="I2" s="18" t="s">
        <v>89</v>
      </c>
      <c r="J2" s="18" t="s">
        <v>104</v>
      </c>
      <c r="K2" s="10"/>
    </row>
    <row r="3" spans="1:11" ht="42.75" customHeight="1" x14ac:dyDescent="0.3">
      <c r="A3" s="18" t="s">
        <v>357</v>
      </c>
      <c r="B3" s="4" t="s">
        <v>358</v>
      </c>
      <c r="C3" s="4" t="s">
        <v>207</v>
      </c>
      <c r="D3" s="4" t="s">
        <v>359</v>
      </c>
      <c r="E3" s="4" t="s">
        <v>360</v>
      </c>
      <c r="F3" s="4" t="s">
        <v>361</v>
      </c>
      <c r="G3" s="10" t="s">
        <v>103</v>
      </c>
      <c r="H3" s="19" t="s">
        <v>65</v>
      </c>
      <c r="I3" s="18" t="s">
        <v>88</v>
      </c>
      <c r="J3" s="18" t="s">
        <v>104</v>
      </c>
      <c r="K3" s="10"/>
    </row>
    <row r="4" spans="1:11" ht="16.5" customHeight="1" x14ac:dyDescent="0.3">
      <c r="A4" s="18" t="s">
        <v>362</v>
      </c>
      <c r="B4" s="4" t="s">
        <v>363</v>
      </c>
      <c r="C4" s="4" t="s">
        <v>364</v>
      </c>
      <c r="D4" s="4" t="s">
        <v>365</v>
      </c>
      <c r="E4" s="4" t="s">
        <v>360</v>
      </c>
      <c r="F4" s="4" t="s">
        <v>366</v>
      </c>
      <c r="G4" s="10" t="s">
        <v>103</v>
      </c>
      <c r="H4" s="19" t="s">
        <v>65</v>
      </c>
      <c r="I4" s="18" t="s">
        <v>89</v>
      </c>
      <c r="J4" s="18" t="s">
        <v>104</v>
      </c>
      <c r="K4" s="10"/>
    </row>
    <row r="5" spans="1:11" ht="30" customHeight="1" x14ac:dyDescent="0.3">
      <c r="A5" s="18" t="s">
        <v>367</v>
      </c>
      <c r="B5" s="4" t="s">
        <v>368</v>
      </c>
      <c r="C5" s="4" t="s">
        <v>364</v>
      </c>
      <c r="D5" s="4" t="s">
        <v>369</v>
      </c>
      <c r="E5" s="4" t="s">
        <v>370</v>
      </c>
      <c r="F5" s="4" t="s">
        <v>371</v>
      </c>
      <c r="G5" s="10" t="s">
        <v>103</v>
      </c>
      <c r="H5" s="19" t="s">
        <v>65</v>
      </c>
      <c r="I5" s="18" t="s">
        <v>89</v>
      </c>
      <c r="J5" s="18" t="s">
        <v>104</v>
      </c>
      <c r="K5" s="10"/>
    </row>
    <row r="6" spans="1:11" ht="16.5" customHeight="1" x14ac:dyDescent="0.3">
      <c r="A6" s="18" t="s">
        <v>372</v>
      </c>
      <c r="B6" s="4" t="s">
        <v>373</v>
      </c>
      <c r="C6" s="4" t="s">
        <v>374</v>
      </c>
      <c r="D6" s="4" t="s">
        <v>375</v>
      </c>
      <c r="E6" s="4" t="s">
        <v>207</v>
      </c>
      <c r="F6" s="4" t="s">
        <v>376</v>
      </c>
      <c r="G6" s="10" t="s">
        <v>103</v>
      </c>
      <c r="H6" s="19" t="s">
        <v>65</v>
      </c>
      <c r="I6" s="18" t="s">
        <v>89</v>
      </c>
      <c r="J6" s="18" t="s">
        <v>104</v>
      </c>
      <c r="K6" s="10"/>
    </row>
    <row r="7" spans="1:11" ht="16.5" customHeight="1" x14ac:dyDescent="0.3">
      <c r="A7" s="18" t="s">
        <v>377</v>
      </c>
      <c r="B7" s="4" t="s">
        <v>378</v>
      </c>
      <c r="C7" s="4" t="s">
        <v>379</v>
      </c>
      <c r="D7" s="4" t="s">
        <v>380</v>
      </c>
      <c r="E7" s="4" t="s">
        <v>207</v>
      </c>
      <c r="F7" s="4" t="s">
        <v>381</v>
      </c>
      <c r="G7" s="10" t="s">
        <v>103</v>
      </c>
      <c r="H7" s="19" t="s">
        <v>65</v>
      </c>
      <c r="I7" s="18" t="s">
        <v>89</v>
      </c>
      <c r="J7" s="18" t="s">
        <v>104</v>
      </c>
      <c r="K7" s="10"/>
    </row>
    <row r="8" spans="1:11" ht="30" customHeight="1" x14ac:dyDescent="0.3">
      <c r="A8" s="18" t="s">
        <v>382</v>
      </c>
      <c r="B8" s="4" t="s">
        <v>383</v>
      </c>
      <c r="C8" s="4" t="s">
        <v>374</v>
      </c>
      <c r="D8" s="4" t="s">
        <v>380</v>
      </c>
      <c r="E8" s="4" t="s">
        <v>207</v>
      </c>
      <c r="F8" s="4" t="s">
        <v>384</v>
      </c>
      <c r="G8" s="10" t="s">
        <v>103</v>
      </c>
      <c r="H8" s="19" t="s">
        <v>65</v>
      </c>
      <c r="I8" s="18" t="s">
        <v>89</v>
      </c>
      <c r="J8" s="18" t="s">
        <v>104</v>
      </c>
      <c r="K8" s="10"/>
    </row>
    <row r="9" spans="1:11" ht="30" customHeight="1" x14ac:dyDescent="0.3">
      <c r="A9" s="18" t="s">
        <v>385</v>
      </c>
      <c r="B9" s="4" t="s">
        <v>386</v>
      </c>
      <c r="C9" s="4" t="s">
        <v>387</v>
      </c>
      <c r="D9" s="4" t="s">
        <v>388</v>
      </c>
      <c r="E9" s="4" t="s">
        <v>389</v>
      </c>
      <c r="F9" s="4" t="s">
        <v>390</v>
      </c>
      <c r="G9" s="10" t="s">
        <v>103</v>
      </c>
      <c r="H9" s="19" t="s">
        <v>65</v>
      </c>
      <c r="I9" s="18" t="s">
        <v>88</v>
      </c>
      <c r="J9" s="18" t="s">
        <v>104</v>
      </c>
      <c r="K9" s="10"/>
    </row>
    <row r="10" spans="1:11" ht="30" customHeight="1" x14ac:dyDescent="0.3">
      <c r="A10" s="18" t="s">
        <v>391</v>
      </c>
      <c r="B10" s="4" t="s">
        <v>392</v>
      </c>
      <c r="C10" s="4" t="s">
        <v>393</v>
      </c>
      <c r="D10" s="4" t="s">
        <v>394</v>
      </c>
      <c r="E10" s="4" t="s">
        <v>207</v>
      </c>
      <c r="F10" s="4" t="s">
        <v>395</v>
      </c>
      <c r="G10" s="10" t="s">
        <v>396</v>
      </c>
      <c r="H10" s="19" t="s">
        <v>34</v>
      </c>
      <c r="I10" s="18" t="s">
        <v>89</v>
      </c>
      <c r="J10" s="18" t="s">
        <v>104</v>
      </c>
      <c r="K10" s="10" t="s">
        <v>397</v>
      </c>
    </row>
    <row r="11" spans="1:11" ht="30" customHeight="1" x14ac:dyDescent="0.3">
      <c r="A11" s="18" t="s">
        <v>398</v>
      </c>
      <c r="B11" s="4" t="s">
        <v>399</v>
      </c>
      <c r="C11" s="4" t="s">
        <v>400</v>
      </c>
      <c r="D11" s="4" t="s">
        <v>401</v>
      </c>
      <c r="E11" s="4" t="s">
        <v>389</v>
      </c>
      <c r="F11" s="4" t="s">
        <v>402</v>
      </c>
      <c r="G11" s="10" t="s">
        <v>103</v>
      </c>
      <c r="H11" s="19" t="s">
        <v>65</v>
      </c>
      <c r="I11" s="18" t="s">
        <v>90</v>
      </c>
      <c r="J11" s="18" t="s">
        <v>104</v>
      </c>
      <c r="K11" s="10"/>
    </row>
    <row r="12" spans="1:11" ht="30" customHeight="1" x14ac:dyDescent="0.3">
      <c r="A12" s="18" t="s">
        <v>403</v>
      </c>
      <c r="B12" s="4" t="s">
        <v>404</v>
      </c>
      <c r="C12" s="4" t="s">
        <v>405</v>
      </c>
      <c r="D12" s="4" t="s">
        <v>406</v>
      </c>
      <c r="E12" s="4" t="s">
        <v>207</v>
      </c>
      <c r="F12" s="4" t="s">
        <v>407</v>
      </c>
      <c r="G12" s="10" t="s">
        <v>103</v>
      </c>
      <c r="H12" s="19" t="s">
        <v>65</v>
      </c>
      <c r="I12" s="18" t="s">
        <v>89</v>
      </c>
      <c r="J12" s="18" t="s">
        <v>104</v>
      </c>
      <c r="K12" s="10"/>
    </row>
    <row r="13" spans="1:11" ht="30" customHeight="1" x14ac:dyDescent="0.3">
      <c r="A13" s="18" t="s">
        <v>408</v>
      </c>
      <c r="B13" s="4" t="s">
        <v>409</v>
      </c>
      <c r="C13" s="4" t="s">
        <v>410</v>
      </c>
      <c r="D13" s="4" t="s">
        <v>411</v>
      </c>
      <c r="E13" s="4" t="s">
        <v>412</v>
      </c>
      <c r="F13" s="4" t="s">
        <v>413</v>
      </c>
      <c r="G13" s="10"/>
      <c r="H13" s="19" t="s">
        <v>67</v>
      </c>
      <c r="I13" s="18" t="s">
        <v>91</v>
      </c>
      <c r="J13" s="18" t="s">
        <v>223</v>
      </c>
      <c r="K13" s="10"/>
    </row>
  </sheetData>
  <autoFilter ref="A1:K13" xr:uid="{00000000-0009-0000-0000-000007000000}"/>
  <conditionalFormatting sqref="H2:H500">
    <cfRule type="cellIs" dxfId="20" priority="2" operator="equal">
      <formula>"Pass"</formula>
    </cfRule>
    <cfRule type="cellIs" dxfId="19" priority="3" operator="equal">
      <formula>"Fail"</formula>
    </cfRule>
    <cfRule type="cellIs" dxfId="18" priority="4" operator="equal">
      <formula>"Blocked"</formula>
    </cfRule>
  </conditionalFormatting>
  <dataValidations count="3">
    <dataValidation type="list" allowBlank="1" sqref="H2:H500" xr:uid="{00000000-0002-0000-0700-000000000000}">
      <formula1>"Not Run,Pass,Fail,Blocked"</formula1>
      <formula2>0</formula2>
    </dataValidation>
    <dataValidation type="list" allowBlank="1" sqref="I2:I500" xr:uid="{00000000-0002-0000-0700-000001000000}">
      <formula1>"Critical,Major,Minor,Trivial"</formula1>
      <formula2>0</formula2>
    </dataValidation>
    <dataValidation type="list" allowBlank="1" sqref="J2:J500" xr:uid="{00000000-0002-0000-07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42.75" customHeight="1" x14ac:dyDescent="0.3">
      <c r="A2" s="18" t="s">
        <v>414</v>
      </c>
      <c r="B2" s="4" t="s">
        <v>415</v>
      </c>
      <c r="C2" s="4" t="s">
        <v>211</v>
      </c>
      <c r="D2" s="4" t="s">
        <v>416</v>
      </c>
      <c r="E2" s="4" t="s">
        <v>417</v>
      </c>
      <c r="F2" s="4" t="s">
        <v>418</v>
      </c>
      <c r="G2" s="10" t="s">
        <v>103</v>
      </c>
      <c r="H2" s="19" t="s">
        <v>65</v>
      </c>
      <c r="I2" s="18" t="s">
        <v>89</v>
      </c>
      <c r="J2" s="18" t="s">
        <v>104</v>
      </c>
      <c r="K2" s="10"/>
    </row>
    <row r="3" spans="1:11" ht="30" customHeight="1" x14ac:dyDescent="0.3">
      <c r="A3" s="18" t="s">
        <v>419</v>
      </c>
      <c r="B3" s="4" t="s">
        <v>420</v>
      </c>
      <c r="C3" s="4" t="s">
        <v>421</v>
      </c>
      <c r="D3" s="4" t="s">
        <v>422</v>
      </c>
      <c r="E3" s="4" t="s">
        <v>417</v>
      </c>
      <c r="F3" s="4" t="s">
        <v>423</v>
      </c>
      <c r="G3" s="10" t="s">
        <v>103</v>
      </c>
      <c r="H3" s="19" t="s">
        <v>65</v>
      </c>
      <c r="I3" s="18" t="s">
        <v>90</v>
      </c>
      <c r="J3" s="18" t="s">
        <v>104</v>
      </c>
      <c r="K3" s="10"/>
    </row>
    <row r="4" spans="1:11" ht="16.5" customHeight="1" x14ac:dyDescent="0.3">
      <c r="A4" s="18" t="s">
        <v>424</v>
      </c>
      <c r="B4" s="4" t="s">
        <v>425</v>
      </c>
      <c r="C4" s="4" t="s">
        <v>426</v>
      </c>
      <c r="D4" s="4" t="s">
        <v>427</v>
      </c>
      <c r="E4" s="4" t="s">
        <v>207</v>
      </c>
      <c r="F4" s="4" t="s">
        <v>428</v>
      </c>
      <c r="G4" s="10"/>
      <c r="H4" s="19" t="s">
        <v>67</v>
      </c>
      <c r="I4" s="18" t="s">
        <v>89</v>
      </c>
      <c r="J4" s="18" t="s">
        <v>104</v>
      </c>
      <c r="K4" s="10"/>
    </row>
    <row r="5" spans="1:11" ht="16.5" customHeight="1" x14ac:dyDescent="0.3">
      <c r="A5" s="18" t="s">
        <v>429</v>
      </c>
      <c r="B5" s="4" t="s">
        <v>430</v>
      </c>
      <c r="C5" s="4" t="s">
        <v>426</v>
      </c>
      <c r="D5" s="4" t="s">
        <v>431</v>
      </c>
      <c r="E5" s="4" t="s">
        <v>207</v>
      </c>
      <c r="F5" s="4" t="s">
        <v>432</v>
      </c>
      <c r="G5" s="10"/>
      <c r="H5" s="19" t="s">
        <v>67</v>
      </c>
      <c r="I5" s="18" t="s">
        <v>90</v>
      </c>
      <c r="J5" s="18" t="s">
        <v>104</v>
      </c>
      <c r="K5" s="10"/>
    </row>
    <row r="6" spans="1:11" ht="16.5" customHeight="1" x14ac:dyDescent="0.3">
      <c r="A6" s="18" t="s">
        <v>433</v>
      </c>
      <c r="B6" s="4" t="s">
        <v>434</v>
      </c>
      <c r="C6" s="4" t="s">
        <v>435</v>
      </c>
      <c r="D6" s="4" t="s">
        <v>436</v>
      </c>
      <c r="E6" s="4" t="s">
        <v>207</v>
      </c>
      <c r="F6" s="4" t="s">
        <v>437</v>
      </c>
      <c r="G6" s="10"/>
      <c r="H6" s="19" t="s">
        <v>67</v>
      </c>
      <c r="I6" s="18" t="s">
        <v>90</v>
      </c>
      <c r="J6" s="18" t="s">
        <v>104</v>
      </c>
      <c r="K6" s="10"/>
    </row>
    <row r="7" spans="1:11" ht="30" customHeight="1" x14ac:dyDescent="0.3">
      <c r="A7" s="18" t="s">
        <v>438</v>
      </c>
      <c r="B7" s="4" t="s">
        <v>439</v>
      </c>
      <c r="C7" s="4" t="s">
        <v>426</v>
      </c>
      <c r="D7" s="4" t="s">
        <v>440</v>
      </c>
      <c r="E7" s="4" t="s">
        <v>207</v>
      </c>
      <c r="F7" s="4" t="s">
        <v>441</v>
      </c>
      <c r="G7" s="10" t="s">
        <v>442</v>
      </c>
      <c r="H7" s="19" t="s">
        <v>34</v>
      </c>
      <c r="I7" s="18" t="s">
        <v>90</v>
      </c>
      <c r="J7" s="18" t="s">
        <v>104</v>
      </c>
      <c r="K7" s="10" t="s">
        <v>443</v>
      </c>
    </row>
  </sheetData>
  <autoFilter ref="A1:K7" xr:uid="{00000000-0009-0000-0000-000008000000}"/>
  <conditionalFormatting sqref="H2:H500">
    <cfRule type="cellIs" dxfId="17" priority="2" operator="equal">
      <formula>"Pass"</formula>
    </cfRule>
    <cfRule type="cellIs" dxfId="16" priority="3" operator="equal">
      <formula>"Fail"</formula>
    </cfRule>
    <cfRule type="cellIs" dxfId="15" priority="4" operator="equal">
      <formula>"Blocked"</formula>
    </cfRule>
  </conditionalFormatting>
  <dataValidations count="3">
    <dataValidation type="list" allowBlank="1" sqref="H2:H500" xr:uid="{00000000-0002-0000-0800-000000000000}">
      <formula1>"Not Run,Pass,Fail,Blocked"</formula1>
      <formula2>0</formula2>
    </dataValidation>
    <dataValidation type="list" allowBlank="1" sqref="I2:I500" xr:uid="{00000000-0002-0000-0800-000001000000}">
      <formula1>"Critical,Major,Minor,Trivial"</formula1>
      <formula2>0</formula2>
    </dataValidation>
    <dataValidation type="list" allowBlank="1" sqref="J2:J500" xr:uid="{00000000-0002-0000-08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
  <sheetViews>
    <sheetView zoomScaleNormal="100" workbookViewId="0">
      <pane xSplit="1" ySplit="1" topLeftCell="B2" activePane="bottomRight" state="frozen"/>
      <selection pane="topRight" activeCell="B1" sqref="B1"/>
      <selection pane="bottomLeft" activeCell="A2" sqref="A2"/>
      <selection pane="bottomRight" activeCell="B1" sqref="B1"/>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186" customHeight="1" x14ac:dyDescent="0.3">
      <c r="A2" s="18" t="s">
        <v>444</v>
      </c>
      <c r="B2" s="4" t="s">
        <v>445</v>
      </c>
      <c r="C2" s="4" t="s">
        <v>446</v>
      </c>
      <c r="D2" s="4" t="s">
        <v>447</v>
      </c>
      <c r="E2" s="4" t="s">
        <v>448</v>
      </c>
      <c r="F2" s="4" t="s">
        <v>449</v>
      </c>
      <c r="G2" s="10" t="s">
        <v>103</v>
      </c>
      <c r="H2" s="19" t="s">
        <v>65</v>
      </c>
      <c r="I2" s="18" t="s">
        <v>88</v>
      </c>
      <c r="J2" s="18" t="s">
        <v>104</v>
      </c>
      <c r="K2" s="10"/>
    </row>
    <row r="3" spans="1:11" ht="30" customHeight="1" x14ac:dyDescent="0.3">
      <c r="A3" s="18" t="s">
        <v>450</v>
      </c>
      <c r="B3" s="4" t="s">
        <v>451</v>
      </c>
      <c r="C3" s="4" t="s">
        <v>452</v>
      </c>
      <c r="D3" s="4" t="s">
        <v>453</v>
      </c>
      <c r="E3" s="4" t="s">
        <v>454</v>
      </c>
      <c r="F3" s="4" t="s">
        <v>455</v>
      </c>
      <c r="G3" s="10"/>
      <c r="H3" s="19" t="s">
        <v>67</v>
      </c>
      <c r="I3" s="18" t="s">
        <v>90</v>
      </c>
      <c r="J3" s="18" t="s">
        <v>104</v>
      </c>
      <c r="K3" s="10"/>
    </row>
    <row r="4" spans="1:11" ht="30" customHeight="1" x14ac:dyDescent="0.3">
      <c r="A4" s="18" t="s">
        <v>456</v>
      </c>
      <c r="B4" s="4" t="s">
        <v>457</v>
      </c>
      <c r="C4" s="4" t="s">
        <v>452</v>
      </c>
      <c r="D4" s="4" t="s">
        <v>458</v>
      </c>
      <c r="E4" s="4" t="s">
        <v>459</v>
      </c>
      <c r="F4" s="4" t="s">
        <v>460</v>
      </c>
      <c r="G4" s="10" t="s">
        <v>461</v>
      </c>
      <c r="H4" s="19" t="s">
        <v>34</v>
      </c>
      <c r="I4" s="18" t="s">
        <v>90</v>
      </c>
      <c r="J4" s="18" t="s">
        <v>104</v>
      </c>
      <c r="K4" s="10" t="s">
        <v>462</v>
      </c>
    </row>
    <row r="5" spans="1:11" ht="30" customHeight="1" x14ac:dyDescent="0.3">
      <c r="A5" s="18" t="s">
        <v>463</v>
      </c>
      <c r="B5" s="4" t="s">
        <v>464</v>
      </c>
      <c r="C5" s="4" t="s">
        <v>452</v>
      </c>
      <c r="D5" s="4" t="s">
        <v>465</v>
      </c>
      <c r="E5" s="4" t="s">
        <v>466</v>
      </c>
      <c r="F5" s="4" t="s">
        <v>467</v>
      </c>
      <c r="G5" s="10" t="s">
        <v>468</v>
      </c>
      <c r="H5" s="19" t="s">
        <v>34</v>
      </c>
      <c r="I5" s="18" t="s">
        <v>90</v>
      </c>
      <c r="J5" s="18" t="s">
        <v>104</v>
      </c>
      <c r="K5" s="10" t="s">
        <v>469</v>
      </c>
    </row>
    <row r="6" spans="1:11" ht="16.5" customHeight="1" x14ac:dyDescent="0.3">
      <c r="A6" s="18" t="s">
        <v>470</v>
      </c>
      <c r="B6" s="4" t="s">
        <v>471</v>
      </c>
      <c r="C6" s="4" t="s">
        <v>452</v>
      </c>
      <c r="D6" s="4" t="s">
        <v>472</v>
      </c>
      <c r="E6" s="4" t="s">
        <v>473</v>
      </c>
      <c r="F6" s="4" t="s">
        <v>474</v>
      </c>
      <c r="G6" s="10" t="s">
        <v>475</v>
      </c>
      <c r="H6" s="19" t="s">
        <v>34</v>
      </c>
      <c r="I6" s="18" t="s">
        <v>91</v>
      </c>
      <c r="J6" s="18" t="s">
        <v>104</v>
      </c>
      <c r="K6" s="10" t="s">
        <v>476</v>
      </c>
    </row>
    <row r="7" spans="1:11" ht="16.5" customHeight="1" x14ac:dyDescent="0.3">
      <c r="A7" s="18" t="s">
        <v>477</v>
      </c>
      <c r="B7" s="4" t="s">
        <v>478</v>
      </c>
      <c r="C7" s="4" t="s">
        <v>452</v>
      </c>
      <c r="D7" s="4" t="s">
        <v>479</v>
      </c>
      <c r="E7" s="4" t="s">
        <v>480</v>
      </c>
      <c r="F7" s="4" t="s">
        <v>481</v>
      </c>
      <c r="G7" s="10"/>
      <c r="H7" s="19" t="s">
        <v>67</v>
      </c>
      <c r="I7" s="18" t="s">
        <v>91</v>
      </c>
      <c r="J7" s="18" t="s">
        <v>104</v>
      </c>
      <c r="K7" s="10"/>
    </row>
    <row r="8" spans="1:11" ht="30" customHeight="1" x14ac:dyDescent="0.3">
      <c r="A8" s="18" t="s">
        <v>482</v>
      </c>
      <c r="B8" s="4" t="s">
        <v>483</v>
      </c>
      <c r="C8" s="4" t="s">
        <v>484</v>
      </c>
      <c r="D8" s="4" t="s">
        <v>485</v>
      </c>
      <c r="E8" s="4" t="s">
        <v>454</v>
      </c>
      <c r="F8" s="4" t="s">
        <v>486</v>
      </c>
      <c r="G8" s="10" t="s">
        <v>103</v>
      </c>
      <c r="H8" s="19" t="s">
        <v>65</v>
      </c>
      <c r="I8" s="18" t="s">
        <v>89</v>
      </c>
      <c r="J8" s="18" t="s">
        <v>104</v>
      </c>
      <c r="K8" s="10"/>
    </row>
    <row r="9" spans="1:11" ht="30" customHeight="1" x14ac:dyDescent="0.3">
      <c r="A9" s="18" t="s">
        <v>487</v>
      </c>
      <c r="B9" s="4" t="s">
        <v>488</v>
      </c>
      <c r="C9" s="4" t="s">
        <v>484</v>
      </c>
      <c r="D9" s="4" t="s">
        <v>489</v>
      </c>
      <c r="E9" s="4" t="s">
        <v>490</v>
      </c>
      <c r="F9" s="4" t="s">
        <v>491</v>
      </c>
      <c r="G9" s="10" t="s">
        <v>103</v>
      </c>
      <c r="H9" s="19" t="s">
        <v>65</v>
      </c>
      <c r="I9" s="18" t="s">
        <v>89</v>
      </c>
      <c r="J9" s="18" t="s">
        <v>104</v>
      </c>
      <c r="K9" s="10"/>
    </row>
    <row r="10" spans="1:11" ht="30" customHeight="1" x14ac:dyDescent="0.3">
      <c r="A10" s="18" t="s">
        <v>492</v>
      </c>
      <c r="B10" s="4" t="s">
        <v>493</v>
      </c>
      <c r="C10" s="4" t="s">
        <v>484</v>
      </c>
      <c r="D10" s="4" t="s">
        <v>494</v>
      </c>
      <c r="E10" s="4" t="s">
        <v>207</v>
      </c>
      <c r="F10" s="4" t="s">
        <v>495</v>
      </c>
      <c r="G10" s="10"/>
      <c r="H10" s="19" t="s">
        <v>67</v>
      </c>
      <c r="I10" s="18" t="s">
        <v>90</v>
      </c>
      <c r="J10" s="18" t="s">
        <v>104</v>
      </c>
      <c r="K10" s="10"/>
    </row>
  </sheetData>
  <autoFilter ref="A1:K10" xr:uid="{00000000-0009-0000-0000-000009000000}"/>
  <conditionalFormatting sqref="H2:H500">
    <cfRule type="cellIs" dxfId="14" priority="2" operator="equal">
      <formula>"Pass"</formula>
    </cfRule>
    <cfRule type="cellIs" dxfId="13" priority="3" operator="equal">
      <formula>"Fail"</formula>
    </cfRule>
    <cfRule type="cellIs" dxfId="12" priority="4" operator="equal">
      <formula>"Blocked"</formula>
    </cfRule>
  </conditionalFormatting>
  <dataValidations count="3">
    <dataValidation type="list" allowBlank="1" sqref="H2:H500" xr:uid="{00000000-0002-0000-0900-000000000000}">
      <formula1>"Not Run,Pass,Fail,Blocked"</formula1>
      <formula2>0</formula2>
    </dataValidation>
    <dataValidation type="list" allowBlank="1" sqref="I2:I500" xr:uid="{00000000-0002-0000-0900-000001000000}">
      <formula1>"Critical,Major,Minor,Trivial"</formula1>
      <formula2>0</formula2>
    </dataValidation>
    <dataValidation type="list" allowBlank="1" sqref="J2:J500" xr:uid="{00000000-0002-0000-09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9"/>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30" customHeight="1" x14ac:dyDescent="0.3">
      <c r="A2" s="18" t="s">
        <v>496</v>
      </c>
      <c r="B2" s="4" t="s">
        <v>497</v>
      </c>
      <c r="C2" s="4" t="s">
        <v>205</v>
      </c>
      <c r="D2" s="4" t="s">
        <v>498</v>
      </c>
      <c r="E2" s="4" t="s">
        <v>207</v>
      </c>
      <c r="F2" s="4" t="s">
        <v>499</v>
      </c>
      <c r="G2" s="10" t="s">
        <v>103</v>
      </c>
      <c r="H2" s="19" t="s">
        <v>65</v>
      </c>
      <c r="I2" s="18" t="s">
        <v>89</v>
      </c>
      <c r="J2" s="18" t="s">
        <v>104</v>
      </c>
      <c r="K2" s="10"/>
    </row>
    <row r="3" spans="1:11" ht="30" customHeight="1" x14ac:dyDescent="0.3">
      <c r="A3" s="18" t="s">
        <v>500</v>
      </c>
      <c r="B3" s="4" t="s">
        <v>501</v>
      </c>
      <c r="C3" s="4" t="s">
        <v>502</v>
      </c>
      <c r="D3" s="4" t="s">
        <v>503</v>
      </c>
      <c r="E3" s="4" t="s">
        <v>207</v>
      </c>
      <c r="F3" s="4" t="s">
        <v>504</v>
      </c>
      <c r="G3" s="10"/>
      <c r="H3" s="19" t="s">
        <v>67</v>
      </c>
      <c r="I3" s="18" t="s">
        <v>89</v>
      </c>
      <c r="J3" s="18" t="s">
        <v>223</v>
      </c>
      <c r="K3" s="10" t="s">
        <v>505</v>
      </c>
    </row>
    <row r="4" spans="1:11" ht="42.75" customHeight="1" x14ac:dyDescent="0.3">
      <c r="A4" s="18" t="s">
        <v>506</v>
      </c>
      <c r="B4" s="4" t="s">
        <v>507</v>
      </c>
      <c r="C4" s="4" t="s">
        <v>508</v>
      </c>
      <c r="D4" s="4" t="s">
        <v>509</v>
      </c>
      <c r="E4" s="4" t="s">
        <v>389</v>
      </c>
      <c r="F4" s="4" t="s">
        <v>510</v>
      </c>
      <c r="G4" s="10" t="s">
        <v>103</v>
      </c>
      <c r="H4" s="19" t="s">
        <v>65</v>
      </c>
      <c r="I4" s="18" t="s">
        <v>88</v>
      </c>
      <c r="J4" s="18" t="s">
        <v>104</v>
      </c>
      <c r="K4" s="10"/>
    </row>
    <row r="5" spans="1:11" ht="16.5" customHeight="1" x14ac:dyDescent="0.3">
      <c r="A5" s="18" t="s">
        <v>511</v>
      </c>
      <c r="B5" s="4" t="s">
        <v>512</v>
      </c>
      <c r="C5" s="4" t="s">
        <v>513</v>
      </c>
      <c r="D5" s="4" t="s">
        <v>514</v>
      </c>
      <c r="E5" s="4" t="s">
        <v>480</v>
      </c>
      <c r="F5" s="4" t="s">
        <v>515</v>
      </c>
      <c r="G5" s="10" t="s">
        <v>103</v>
      </c>
      <c r="H5" s="19" t="s">
        <v>65</v>
      </c>
      <c r="I5" s="18" t="s">
        <v>89</v>
      </c>
      <c r="J5" s="18" t="s">
        <v>104</v>
      </c>
      <c r="K5" s="10"/>
    </row>
    <row r="6" spans="1:11" ht="30" customHeight="1" x14ac:dyDescent="0.3">
      <c r="A6" s="18" t="s">
        <v>516</v>
      </c>
      <c r="B6" s="4" t="s">
        <v>517</v>
      </c>
      <c r="C6" s="4" t="s">
        <v>518</v>
      </c>
      <c r="D6" s="4" t="s">
        <v>519</v>
      </c>
      <c r="E6" s="4" t="s">
        <v>520</v>
      </c>
      <c r="F6" s="4" t="s">
        <v>515</v>
      </c>
      <c r="G6" s="10" t="s">
        <v>103</v>
      </c>
      <c r="H6" s="19" t="s">
        <v>65</v>
      </c>
      <c r="I6" s="18" t="s">
        <v>89</v>
      </c>
      <c r="J6" s="18" t="s">
        <v>104</v>
      </c>
      <c r="K6" s="10"/>
    </row>
    <row r="7" spans="1:11" ht="42.75" customHeight="1" x14ac:dyDescent="0.3">
      <c r="A7" s="18" t="s">
        <v>521</v>
      </c>
      <c r="B7" s="4" t="s">
        <v>522</v>
      </c>
      <c r="C7" s="4" t="s">
        <v>518</v>
      </c>
      <c r="D7" s="4" t="s">
        <v>523</v>
      </c>
      <c r="E7" s="4" t="s">
        <v>524</v>
      </c>
      <c r="F7" s="4" t="s">
        <v>525</v>
      </c>
      <c r="G7" s="10"/>
      <c r="H7" s="19" t="s">
        <v>67</v>
      </c>
      <c r="I7" s="18" t="s">
        <v>90</v>
      </c>
      <c r="J7" s="18" t="s">
        <v>104</v>
      </c>
      <c r="K7" s="10"/>
    </row>
    <row r="8" spans="1:11" ht="30" customHeight="1" x14ac:dyDescent="0.3">
      <c r="A8" s="18" t="s">
        <v>526</v>
      </c>
      <c r="B8" s="4" t="s">
        <v>527</v>
      </c>
      <c r="C8" s="4" t="s">
        <v>518</v>
      </c>
      <c r="D8" s="4" t="s">
        <v>528</v>
      </c>
      <c r="E8" s="4" t="s">
        <v>529</v>
      </c>
      <c r="F8" s="4" t="s">
        <v>125</v>
      </c>
      <c r="G8" s="10"/>
      <c r="H8" s="19" t="s">
        <v>67</v>
      </c>
      <c r="I8" s="18" t="s">
        <v>89</v>
      </c>
      <c r="J8" s="18" t="s">
        <v>104</v>
      </c>
      <c r="K8" s="10"/>
    </row>
    <row r="9" spans="1:11" ht="30" customHeight="1" x14ac:dyDescent="0.3">
      <c r="A9" s="18" t="s">
        <v>530</v>
      </c>
      <c r="B9" s="4" t="s">
        <v>531</v>
      </c>
      <c r="C9" s="4" t="s">
        <v>518</v>
      </c>
      <c r="D9" s="4" t="s">
        <v>532</v>
      </c>
      <c r="E9" s="4" t="s">
        <v>533</v>
      </c>
      <c r="F9" s="4" t="s">
        <v>534</v>
      </c>
      <c r="G9" s="10"/>
      <c r="H9" s="19" t="s">
        <v>67</v>
      </c>
      <c r="I9" s="18" t="s">
        <v>89</v>
      </c>
      <c r="J9" s="18" t="s">
        <v>104</v>
      </c>
      <c r="K9" s="10"/>
    </row>
    <row r="10" spans="1:11" ht="30" customHeight="1" x14ac:dyDescent="0.3">
      <c r="A10" s="18" t="s">
        <v>535</v>
      </c>
      <c r="B10" s="4" t="s">
        <v>536</v>
      </c>
      <c r="C10" s="4" t="s">
        <v>518</v>
      </c>
      <c r="D10" s="4" t="s">
        <v>537</v>
      </c>
      <c r="E10" s="4" t="s">
        <v>538</v>
      </c>
      <c r="F10" s="4" t="s">
        <v>539</v>
      </c>
      <c r="G10" s="10" t="s">
        <v>103</v>
      </c>
      <c r="H10" s="19" t="s">
        <v>65</v>
      </c>
      <c r="I10" s="18" t="s">
        <v>90</v>
      </c>
      <c r="J10" s="18" t="s">
        <v>104</v>
      </c>
      <c r="K10" s="10" t="s">
        <v>158</v>
      </c>
    </row>
    <row r="11" spans="1:11" ht="30" customHeight="1" x14ac:dyDescent="0.3">
      <c r="A11" s="18" t="s">
        <v>540</v>
      </c>
      <c r="B11" s="4" t="s">
        <v>541</v>
      </c>
      <c r="C11" s="4" t="s">
        <v>518</v>
      </c>
      <c r="D11" s="4" t="s">
        <v>542</v>
      </c>
      <c r="E11" s="4" t="s">
        <v>151</v>
      </c>
      <c r="F11" s="4" t="s">
        <v>152</v>
      </c>
      <c r="G11" s="10"/>
      <c r="H11" s="19" t="s">
        <v>67</v>
      </c>
      <c r="I11" s="18" t="s">
        <v>89</v>
      </c>
      <c r="J11" s="18" t="s">
        <v>104</v>
      </c>
      <c r="K11" s="10"/>
    </row>
    <row r="12" spans="1:11" ht="81.75" customHeight="1" x14ac:dyDescent="0.3">
      <c r="A12" s="18" t="s">
        <v>543</v>
      </c>
      <c r="B12" s="4" t="s">
        <v>544</v>
      </c>
      <c r="C12" s="4" t="s">
        <v>545</v>
      </c>
      <c r="D12" s="4" t="s">
        <v>546</v>
      </c>
      <c r="E12" s="4" t="s">
        <v>547</v>
      </c>
      <c r="F12" s="4" t="s">
        <v>548</v>
      </c>
      <c r="G12" s="10"/>
      <c r="H12" s="19" t="s">
        <v>67</v>
      </c>
      <c r="I12" s="18" t="s">
        <v>88</v>
      </c>
      <c r="J12" s="18" t="s">
        <v>104</v>
      </c>
      <c r="K12" s="10"/>
    </row>
    <row r="13" spans="1:11" ht="42.75" customHeight="1" x14ac:dyDescent="0.3">
      <c r="A13" s="18" t="s">
        <v>549</v>
      </c>
      <c r="B13" s="4" t="s">
        <v>550</v>
      </c>
      <c r="C13" s="4" t="s">
        <v>551</v>
      </c>
      <c r="D13" s="4" t="s">
        <v>552</v>
      </c>
      <c r="E13" s="4" t="s">
        <v>553</v>
      </c>
      <c r="F13" s="4" t="s">
        <v>554</v>
      </c>
      <c r="G13" s="10"/>
      <c r="H13" s="19" t="s">
        <v>67</v>
      </c>
      <c r="I13" s="18" t="s">
        <v>89</v>
      </c>
      <c r="J13" s="18" t="s">
        <v>223</v>
      </c>
      <c r="K13" s="10" t="s">
        <v>555</v>
      </c>
    </row>
    <row r="14" spans="1:11" ht="30" customHeight="1" x14ac:dyDescent="0.3">
      <c r="A14" s="18" t="s">
        <v>556</v>
      </c>
      <c r="B14" s="4" t="s">
        <v>557</v>
      </c>
      <c r="C14" s="4" t="s">
        <v>558</v>
      </c>
      <c r="D14" s="4" t="s">
        <v>559</v>
      </c>
      <c r="E14" s="4" t="s">
        <v>560</v>
      </c>
      <c r="F14" s="4" t="s">
        <v>561</v>
      </c>
      <c r="G14" s="10"/>
      <c r="H14" s="19" t="s">
        <v>67</v>
      </c>
      <c r="I14" s="18" t="s">
        <v>90</v>
      </c>
      <c r="J14" s="18" t="s">
        <v>223</v>
      </c>
      <c r="K14" s="10" t="s">
        <v>562</v>
      </c>
    </row>
    <row r="15" spans="1:11" ht="42.75" customHeight="1" x14ac:dyDescent="0.3">
      <c r="A15" s="18" t="s">
        <v>563</v>
      </c>
      <c r="B15" s="4" t="s">
        <v>564</v>
      </c>
      <c r="C15" s="4" t="s">
        <v>565</v>
      </c>
      <c r="D15" s="4" t="s">
        <v>566</v>
      </c>
      <c r="E15" s="4" t="s">
        <v>567</v>
      </c>
      <c r="F15" s="4" t="s">
        <v>568</v>
      </c>
      <c r="G15" s="10"/>
      <c r="H15" s="19" t="s">
        <v>67</v>
      </c>
      <c r="I15" s="18" t="s">
        <v>88</v>
      </c>
      <c r="J15" s="18" t="s">
        <v>223</v>
      </c>
      <c r="K15" s="10"/>
    </row>
    <row r="16" spans="1:11" ht="16.5" customHeight="1" x14ac:dyDescent="0.3">
      <c r="A16" s="18" t="s">
        <v>569</v>
      </c>
      <c r="B16" s="4" t="s">
        <v>570</v>
      </c>
      <c r="C16" s="4" t="s">
        <v>571</v>
      </c>
      <c r="D16" s="4" t="s">
        <v>572</v>
      </c>
      <c r="E16" s="4" t="s">
        <v>207</v>
      </c>
      <c r="F16" s="4" t="s">
        <v>573</v>
      </c>
      <c r="G16" s="10"/>
      <c r="H16" s="19" t="s">
        <v>67</v>
      </c>
      <c r="I16" s="18" t="s">
        <v>89</v>
      </c>
      <c r="J16" s="18" t="s">
        <v>223</v>
      </c>
      <c r="K16" s="10"/>
    </row>
    <row r="17" spans="1:11" ht="30" customHeight="1" x14ac:dyDescent="0.3">
      <c r="A17" s="18" t="s">
        <v>574</v>
      </c>
      <c r="B17" s="4" t="s">
        <v>575</v>
      </c>
      <c r="C17" s="4" t="s">
        <v>576</v>
      </c>
      <c r="D17" s="4" t="s">
        <v>577</v>
      </c>
      <c r="E17" s="4" t="s">
        <v>207</v>
      </c>
      <c r="F17" s="4" t="s">
        <v>578</v>
      </c>
      <c r="G17" s="10"/>
      <c r="H17" s="19" t="s">
        <v>67</v>
      </c>
      <c r="I17" s="18" t="s">
        <v>90</v>
      </c>
      <c r="J17" s="18" t="s">
        <v>223</v>
      </c>
      <c r="K17" s="10"/>
    </row>
    <row r="18" spans="1:11" ht="30" customHeight="1" x14ac:dyDescent="0.3">
      <c r="A18" s="18" t="s">
        <v>579</v>
      </c>
      <c r="B18" s="4" t="s">
        <v>580</v>
      </c>
      <c r="C18" s="4" t="s">
        <v>581</v>
      </c>
      <c r="D18" s="4" t="s">
        <v>582</v>
      </c>
      <c r="E18" s="4" t="s">
        <v>207</v>
      </c>
      <c r="F18" s="4" t="s">
        <v>583</v>
      </c>
      <c r="G18" s="10"/>
      <c r="H18" s="19" t="s">
        <v>67</v>
      </c>
      <c r="I18" s="18" t="s">
        <v>89</v>
      </c>
      <c r="J18" s="18" t="s">
        <v>223</v>
      </c>
      <c r="K18" s="10" t="s">
        <v>584</v>
      </c>
    </row>
    <row r="19" spans="1:11" ht="16.5" customHeight="1" x14ac:dyDescent="0.3">
      <c r="A19" s="18" t="s">
        <v>585</v>
      </c>
      <c r="B19" s="4" t="s">
        <v>586</v>
      </c>
      <c r="C19" s="4" t="s">
        <v>587</v>
      </c>
      <c r="D19" s="4" t="s">
        <v>588</v>
      </c>
      <c r="E19" s="4" t="s">
        <v>207</v>
      </c>
      <c r="F19" s="4" t="s">
        <v>589</v>
      </c>
      <c r="G19" s="10" t="s">
        <v>103</v>
      </c>
      <c r="H19" s="19" t="s">
        <v>65</v>
      </c>
      <c r="I19" s="18" t="s">
        <v>91</v>
      </c>
      <c r="J19" s="18" t="s">
        <v>104</v>
      </c>
      <c r="K19" s="10"/>
    </row>
  </sheetData>
  <autoFilter ref="A1:K19" xr:uid="{00000000-0009-0000-0000-00000A000000}"/>
  <conditionalFormatting sqref="H2:H500">
    <cfRule type="cellIs" dxfId="11" priority="2" operator="equal">
      <formula>"Pass"</formula>
    </cfRule>
    <cfRule type="cellIs" dxfId="10" priority="3" operator="equal">
      <formula>"Fail"</formula>
    </cfRule>
    <cfRule type="cellIs" dxfId="9" priority="4" operator="equal">
      <formula>"Blocked"</formula>
    </cfRule>
  </conditionalFormatting>
  <dataValidations count="3">
    <dataValidation type="list" allowBlank="1" sqref="H2:H500" xr:uid="{00000000-0002-0000-0A00-000000000000}">
      <formula1>"Not Run,Pass,Fail,Blocked"</formula1>
      <formula2>0</formula2>
    </dataValidation>
    <dataValidation type="list" allowBlank="1" sqref="I2:I500" xr:uid="{00000000-0002-0000-0A00-000001000000}">
      <formula1>"Critical,Major,Minor,Trivial"</formula1>
      <formula2>0</formula2>
    </dataValidation>
    <dataValidation type="list" allowBlank="1" sqref="J2:J500" xr:uid="{00000000-0002-0000-0A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30" customHeight="1" x14ac:dyDescent="0.3">
      <c r="A2" s="18" t="s">
        <v>590</v>
      </c>
      <c r="B2" s="4" t="s">
        <v>591</v>
      </c>
      <c r="C2" s="4" t="s">
        <v>205</v>
      </c>
      <c r="D2" s="4" t="s">
        <v>592</v>
      </c>
      <c r="E2" s="4" t="s">
        <v>207</v>
      </c>
      <c r="F2" s="4" t="s">
        <v>499</v>
      </c>
      <c r="G2" s="10" t="s">
        <v>103</v>
      </c>
      <c r="H2" s="19" t="s">
        <v>65</v>
      </c>
      <c r="I2" s="18" t="s">
        <v>89</v>
      </c>
      <c r="J2" s="18" t="s">
        <v>104</v>
      </c>
      <c r="K2" s="10"/>
    </row>
    <row r="3" spans="1:11" ht="30" customHeight="1" x14ac:dyDescent="0.3">
      <c r="A3" s="18" t="s">
        <v>593</v>
      </c>
      <c r="B3" s="4" t="s">
        <v>594</v>
      </c>
      <c r="C3" s="4" t="s">
        <v>595</v>
      </c>
      <c r="D3" s="4" t="s">
        <v>592</v>
      </c>
      <c r="E3" s="4" t="s">
        <v>174</v>
      </c>
      <c r="F3" s="4" t="s">
        <v>596</v>
      </c>
      <c r="G3" s="10" t="s">
        <v>597</v>
      </c>
      <c r="H3" s="19" t="s">
        <v>34</v>
      </c>
      <c r="I3" s="18" t="s">
        <v>88</v>
      </c>
      <c r="J3" s="18" t="s">
        <v>104</v>
      </c>
      <c r="K3" s="10" t="s">
        <v>598</v>
      </c>
    </row>
    <row r="4" spans="1:11" ht="30" customHeight="1" x14ac:dyDescent="0.3">
      <c r="A4" s="18" t="s">
        <v>599</v>
      </c>
      <c r="B4" s="4" t="s">
        <v>600</v>
      </c>
      <c r="C4" s="4" t="s">
        <v>601</v>
      </c>
      <c r="D4" s="4" t="s">
        <v>602</v>
      </c>
      <c r="E4" s="4" t="s">
        <v>207</v>
      </c>
      <c r="F4" s="4" t="s">
        <v>603</v>
      </c>
      <c r="G4" s="10" t="s">
        <v>103</v>
      </c>
      <c r="H4" s="19" t="s">
        <v>65</v>
      </c>
      <c r="I4" s="18" t="s">
        <v>89</v>
      </c>
      <c r="J4" s="18" t="s">
        <v>104</v>
      </c>
      <c r="K4" s="10"/>
    </row>
    <row r="5" spans="1:11" ht="55.5" customHeight="1" x14ac:dyDescent="0.3">
      <c r="A5" s="18" t="s">
        <v>604</v>
      </c>
      <c r="B5" s="4" t="s">
        <v>605</v>
      </c>
      <c r="C5" s="4" t="s">
        <v>606</v>
      </c>
      <c r="D5" s="4" t="s">
        <v>607</v>
      </c>
      <c r="E5" s="4" t="s">
        <v>608</v>
      </c>
      <c r="F5" s="4" t="s">
        <v>609</v>
      </c>
      <c r="G5" s="10" t="s">
        <v>103</v>
      </c>
      <c r="H5" s="19" t="s">
        <v>65</v>
      </c>
      <c r="I5" s="18" t="s">
        <v>89</v>
      </c>
      <c r="J5" s="18" t="s">
        <v>104</v>
      </c>
      <c r="K5" s="10"/>
    </row>
    <row r="6" spans="1:11" ht="42.75" customHeight="1" x14ac:dyDescent="0.3">
      <c r="A6" s="18" t="s">
        <v>610</v>
      </c>
      <c r="B6" s="4" t="s">
        <v>611</v>
      </c>
      <c r="C6" s="4" t="s">
        <v>606</v>
      </c>
      <c r="D6" s="4" t="s">
        <v>612</v>
      </c>
      <c r="E6" s="4" t="s">
        <v>613</v>
      </c>
      <c r="F6" s="4" t="s">
        <v>614</v>
      </c>
      <c r="G6" s="10"/>
      <c r="H6" s="19" t="s">
        <v>67</v>
      </c>
      <c r="I6" s="18" t="s">
        <v>89</v>
      </c>
      <c r="J6" s="18" t="s">
        <v>104</v>
      </c>
      <c r="K6" s="10"/>
    </row>
    <row r="7" spans="1:11" ht="30" customHeight="1" x14ac:dyDescent="0.3">
      <c r="A7" s="18" t="s">
        <v>615</v>
      </c>
      <c r="B7" s="4" t="s">
        <v>616</v>
      </c>
      <c r="C7" s="4" t="s">
        <v>617</v>
      </c>
      <c r="D7" s="4" t="s">
        <v>618</v>
      </c>
      <c r="E7" s="4" t="s">
        <v>619</v>
      </c>
      <c r="F7" s="4" t="s">
        <v>620</v>
      </c>
      <c r="G7" s="10"/>
      <c r="H7" s="19" t="s">
        <v>67</v>
      </c>
      <c r="I7" s="18" t="s">
        <v>89</v>
      </c>
      <c r="J7" s="18" t="s">
        <v>104</v>
      </c>
      <c r="K7" s="10"/>
    </row>
    <row r="8" spans="1:11" ht="30" customHeight="1" x14ac:dyDescent="0.3">
      <c r="A8" s="18" t="s">
        <v>621</v>
      </c>
      <c r="B8" s="4" t="s">
        <v>622</v>
      </c>
      <c r="C8" s="4" t="s">
        <v>606</v>
      </c>
      <c r="D8" s="4" t="s">
        <v>623</v>
      </c>
      <c r="E8" s="4" t="s">
        <v>624</v>
      </c>
      <c r="F8" s="4" t="s">
        <v>625</v>
      </c>
      <c r="G8" s="10"/>
      <c r="H8" s="19" t="s">
        <v>67</v>
      </c>
      <c r="I8" s="18" t="s">
        <v>90</v>
      </c>
      <c r="J8" s="18" t="s">
        <v>223</v>
      </c>
      <c r="K8" s="10" t="s">
        <v>626</v>
      </c>
    </row>
    <row r="9" spans="1:11" ht="42.75" customHeight="1" x14ac:dyDescent="0.3">
      <c r="A9" s="18" t="s">
        <v>627</v>
      </c>
      <c r="B9" s="4" t="s">
        <v>628</v>
      </c>
      <c r="C9" s="4" t="s">
        <v>629</v>
      </c>
      <c r="D9" s="4" t="s">
        <v>630</v>
      </c>
      <c r="E9" s="4" t="s">
        <v>631</v>
      </c>
      <c r="F9" s="4" t="s">
        <v>632</v>
      </c>
      <c r="G9" s="10"/>
      <c r="H9" s="19" t="s">
        <v>67</v>
      </c>
      <c r="I9" s="18" t="s">
        <v>89</v>
      </c>
      <c r="J9" s="18" t="s">
        <v>223</v>
      </c>
      <c r="K9" s="10"/>
    </row>
    <row r="10" spans="1:11" ht="16.5" customHeight="1" x14ac:dyDescent="0.3">
      <c r="A10" s="18" t="s">
        <v>633</v>
      </c>
      <c r="B10" s="4" t="s">
        <v>634</v>
      </c>
      <c r="C10" s="4" t="s">
        <v>601</v>
      </c>
      <c r="D10" s="4" t="s">
        <v>635</v>
      </c>
      <c r="E10" s="4" t="s">
        <v>207</v>
      </c>
      <c r="F10" s="4" t="s">
        <v>636</v>
      </c>
      <c r="G10" s="10"/>
      <c r="H10" s="19" t="s">
        <v>67</v>
      </c>
      <c r="I10" s="18" t="s">
        <v>90</v>
      </c>
      <c r="J10" s="18" t="s">
        <v>223</v>
      </c>
      <c r="K10" s="10"/>
    </row>
    <row r="11" spans="1:11" ht="30" customHeight="1" x14ac:dyDescent="0.3">
      <c r="A11" s="18" t="s">
        <v>637</v>
      </c>
      <c r="B11" s="4" t="s">
        <v>638</v>
      </c>
      <c r="C11" s="4" t="s">
        <v>639</v>
      </c>
      <c r="D11" s="4" t="s">
        <v>640</v>
      </c>
      <c r="E11" s="4" t="s">
        <v>207</v>
      </c>
      <c r="F11" s="4" t="s">
        <v>641</v>
      </c>
      <c r="G11" s="10"/>
      <c r="H11" s="19" t="s">
        <v>67</v>
      </c>
      <c r="I11" s="18" t="s">
        <v>90</v>
      </c>
      <c r="J11" s="18" t="s">
        <v>104</v>
      </c>
      <c r="K11" s="10"/>
    </row>
  </sheetData>
  <autoFilter ref="A1:K11" xr:uid="{00000000-0009-0000-0000-00000B000000}"/>
  <conditionalFormatting sqref="H2:H500">
    <cfRule type="cellIs" dxfId="8" priority="2" operator="equal">
      <formula>"Pass"</formula>
    </cfRule>
    <cfRule type="cellIs" dxfId="7" priority="3" operator="equal">
      <formula>"Fail"</formula>
    </cfRule>
    <cfRule type="cellIs" dxfId="6" priority="4" operator="equal">
      <formula>"Blocked"</formula>
    </cfRule>
  </conditionalFormatting>
  <dataValidations count="3">
    <dataValidation type="list" allowBlank="1" sqref="H2:H500" xr:uid="{00000000-0002-0000-0B00-000000000000}">
      <formula1>"Not Run,Pass,Fail,Blocked"</formula1>
      <formula2>0</formula2>
    </dataValidation>
    <dataValidation type="list" allowBlank="1" sqref="I2:I500" xr:uid="{00000000-0002-0000-0B00-000001000000}">
      <formula1>"Critical,Major,Minor,Trivial"</formula1>
      <formula2>0</formula2>
    </dataValidation>
    <dataValidation type="list" allowBlank="1" sqref="J2:J500" xr:uid="{00000000-0002-0000-0B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9" customWidth="1"/>
    <col min="2" max="2" width="32" customWidth="1"/>
    <col min="3" max="3" width="24" customWidth="1"/>
    <col min="4" max="4" width="42" customWidth="1"/>
    <col min="5" max="5" width="30" customWidth="1"/>
    <col min="6" max="6" width="42" customWidth="1"/>
    <col min="7" max="7" width="28" customWidth="1"/>
    <col min="8" max="8" width="12" customWidth="1"/>
    <col min="9" max="10" width="11" customWidth="1"/>
    <col min="11" max="11" width="24" customWidth="1"/>
  </cols>
  <sheetData>
    <row r="1" spans="1:11" ht="31.5" customHeight="1" x14ac:dyDescent="0.3">
      <c r="A1" s="11" t="s">
        <v>23</v>
      </c>
      <c r="B1" s="11" t="s">
        <v>25</v>
      </c>
      <c r="C1" s="11" t="s">
        <v>93</v>
      </c>
      <c r="D1" s="11" t="s">
        <v>94</v>
      </c>
      <c r="E1" s="11" t="s">
        <v>27</v>
      </c>
      <c r="F1" s="11" t="s">
        <v>29</v>
      </c>
      <c r="G1" s="11" t="s">
        <v>95</v>
      </c>
      <c r="H1" s="11" t="s">
        <v>6</v>
      </c>
      <c r="I1" s="11" t="s">
        <v>8</v>
      </c>
      <c r="J1" s="11" t="s">
        <v>50</v>
      </c>
      <c r="K1" s="11" t="s">
        <v>96</v>
      </c>
    </row>
    <row r="2" spans="1:11" ht="30" customHeight="1" x14ac:dyDescent="0.3">
      <c r="A2" s="18" t="s">
        <v>642</v>
      </c>
      <c r="B2" s="4" t="s">
        <v>643</v>
      </c>
      <c r="C2" s="4" t="s">
        <v>207</v>
      </c>
      <c r="D2" s="4" t="s">
        <v>644</v>
      </c>
      <c r="E2" s="4" t="s">
        <v>645</v>
      </c>
      <c r="F2" s="4" t="s">
        <v>646</v>
      </c>
      <c r="G2" s="10" t="s">
        <v>647</v>
      </c>
      <c r="H2" s="19" t="s">
        <v>34</v>
      </c>
      <c r="I2" s="18" t="s">
        <v>90</v>
      </c>
      <c r="J2" s="18" t="s">
        <v>104</v>
      </c>
      <c r="K2" s="10" t="s">
        <v>648</v>
      </c>
    </row>
    <row r="3" spans="1:11" ht="30" customHeight="1" x14ac:dyDescent="0.3">
      <c r="A3" s="18" t="s">
        <v>649</v>
      </c>
      <c r="B3" s="4" t="s">
        <v>650</v>
      </c>
      <c r="C3" s="4" t="s">
        <v>207</v>
      </c>
      <c r="D3" s="4" t="s">
        <v>651</v>
      </c>
      <c r="E3" s="4" t="s">
        <v>652</v>
      </c>
      <c r="F3" s="4" t="s">
        <v>653</v>
      </c>
      <c r="G3" s="10" t="s">
        <v>103</v>
      </c>
      <c r="H3" s="19" t="s">
        <v>65</v>
      </c>
      <c r="I3" s="18" t="s">
        <v>90</v>
      </c>
      <c r="J3" s="18" t="s">
        <v>223</v>
      </c>
      <c r="K3" s="10"/>
    </row>
    <row r="4" spans="1:11" ht="42.75" customHeight="1" x14ac:dyDescent="0.3">
      <c r="A4" s="18" t="s">
        <v>654</v>
      </c>
      <c r="B4" s="4" t="s">
        <v>655</v>
      </c>
      <c r="C4" s="4" t="s">
        <v>207</v>
      </c>
      <c r="D4" s="4" t="s">
        <v>656</v>
      </c>
      <c r="E4" s="4" t="s">
        <v>657</v>
      </c>
      <c r="F4" s="4" t="s">
        <v>658</v>
      </c>
      <c r="G4" s="10" t="s">
        <v>103</v>
      </c>
      <c r="H4" s="19" t="s">
        <v>65</v>
      </c>
      <c r="I4" s="18" t="s">
        <v>89</v>
      </c>
      <c r="J4" s="18" t="s">
        <v>223</v>
      </c>
      <c r="K4" s="10"/>
    </row>
    <row r="5" spans="1:11" ht="42.75" customHeight="1" x14ac:dyDescent="0.3">
      <c r="A5" s="18" t="s">
        <v>659</v>
      </c>
      <c r="B5" s="4" t="s">
        <v>660</v>
      </c>
      <c r="C5" s="4" t="s">
        <v>207</v>
      </c>
      <c r="D5" s="4" t="s">
        <v>661</v>
      </c>
      <c r="E5" s="4" t="s">
        <v>662</v>
      </c>
      <c r="F5" s="4" t="s">
        <v>663</v>
      </c>
      <c r="G5" s="10"/>
      <c r="H5" s="19" t="s">
        <v>67</v>
      </c>
      <c r="I5" s="18" t="s">
        <v>90</v>
      </c>
      <c r="J5" s="18" t="s">
        <v>223</v>
      </c>
      <c r="K5" s="10"/>
    </row>
    <row r="6" spans="1:11" ht="42.75" customHeight="1" x14ac:dyDescent="0.3">
      <c r="A6" s="18" t="s">
        <v>664</v>
      </c>
      <c r="B6" s="4" t="s">
        <v>665</v>
      </c>
      <c r="C6" s="4" t="s">
        <v>207</v>
      </c>
      <c r="D6" s="4" t="s">
        <v>666</v>
      </c>
      <c r="E6" s="4" t="s">
        <v>207</v>
      </c>
      <c r="F6" s="4" t="s">
        <v>667</v>
      </c>
      <c r="G6" s="10"/>
      <c r="H6" s="19" t="s">
        <v>67</v>
      </c>
      <c r="I6" s="18" t="s">
        <v>90</v>
      </c>
      <c r="J6" s="18" t="s">
        <v>104</v>
      </c>
      <c r="K6" s="10"/>
    </row>
    <row r="7" spans="1:11" ht="42.75" customHeight="1" x14ac:dyDescent="0.3">
      <c r="A7" s="18" t="s">
        <v>668</v>
      </c>
      <c r="B7" s="4" t="s">
        <v>669</v>
      </c>
      <c r="C7" s="4" t="s">
        <v>207</v>
      </c>
      <c r="D7" s="4" t="s">
        <v>670</v>
      </c>
      <c r="E7" s="4" t="s">
        <v>207</v>
      </c>
      <c r="F7" s="4" t="s">
        <v>671</v>
      </c>
      <c r="G7" s="10" t="s">
        <v>103</v>
      </c>
      <c r="H7" s="19" t="s">
        <v>65</v>
      </c>
      <c r="I7" s="18" t="s">
        <v>89</v>
      </c>
      <c r="J7" s="18" t="s">
        <v>104</v>
      </c>
      <c r="K7" s="10"/>
    </row>
    <row r="8" spans="1:11" ht="42.75" customHeight="1" x14ac:dyDescent="0.3">
      <c r="A8" s="18" t="s">
        <v>672</v>
      </c>
      <c r="B8" s="4" t="s">
        <v>673</v>
      </c>
      <c r="C8" s="4" t="s">
        <v>207</v>
      </c>
      <c r="D8" s="4" t="s">
        <v>674</v>
      </c>
      <c r="E8" s="4" t="s">
        <v>207</v>
      </c>
      <c r="F8" s="4" t="s">
        <v>675</v>
      </c>
      <c r="G8" s="10" t="s">
        <v>103</v>
      </c>
      <c r="H8" s="19" t="s">
        <v>65</v>
      </c>
      <c r="I8" s="18" t="s">
        <v>90</v>
      </c>
      <c r="J8" s="18" t="s">
        <v>104</v>
      </c>
      <c r="K8" s="10"/>
    </row>
    <row r="9" spans="1:11" ht="30" customHeight="1" x14ac:dyDescent="0.3">
      <c r="A9" s="18" t="s">
        <v>676</v>
      </c>
      <c r="B9" s="4" t="s">
        <v>677</v>
      </c>
      <c r="C9" s="4" t="s">
        <v>207</v>
      </c>
      <c r="D9" s="4" t="s">
        <v>678</v>
      </c>
      <c r="E9" s="4" t="s">
        <v>679</v>
      </c>
      <c r="F9" s="4" t="s">
        <v>680</v>
      </c>
      <c r="G9" s="10"/>
      <c r="H9" s="19" t="s">
        <v>67</v>
      </c>
      <c r="I9" s="18" t="s">
        <v>89</v>
      </c>
      <c r="J9" s="18" t="s">
        <v>223</v>
      </c>
      <c r="K9" s="10"/>
    </row>
    <row r="10" spans="1:11" ht="30" customHeight="1" x14ac:dyDescent="0.3">
      <c r="A10" s="18" t="s">
        <v>681</v>
      </c>
      <c r="B10" s="4" t="s">
        <v>682</v>
      </c>
      <c r="C10" s="4" t="s">
        <v>683</v>
      </c>
      <c r="D10" s="4" t="s">
        <v>684</v>
      </c>
      <c r="E10" s="4" t="s">
        <v>207</v>
      </c>
      <c r="F10" s="4" t="s">
        <v>685</v>
      </c>
      <c r="G10" s="10"/>
      <c r="H10" s="19" t="s">
        <v>67</v>
      </c>
      <c r="I10" s="18" t="s">
        <v>90</v>
      </c>
      <c r="J10" s="18" t="s">
        <v>223</v>
      </c>
      <c r="K10" s="10"/>
    </row>
    <row r="11" spans="1:11" ht="30" customHeight="1" x14ac:dyDescent="0.3">
      <c r="A11" s="18" t="s">
        <v>686</v>
      </c>
      <c r="B11" s="4" t="s">
        <v>687</v>
      </c>
      <c r="C11" s="4" t="s">
        <v>207</v>
      </c>
      <c r="D11" s="4" t="s">
        <v>688</v>
      </c>
      <c r="E11" s="4" t="s">
        <v>689</v>
      </c>
      <c r="F11" s="4" t="s">
        <v>690</v>
      </c>
      <c r="G11" s="10" t="s">
        <v>691</v>
      </c>
      <c r="H11" s="19" t="s">
        <v>34</v>
      </c>
      <c r="I11" s="18" t="s">
        <v>90</v>
      </c>
      <c r="J11" s="18" t="s">
        <v>104</v>
      </c>
      <c r="K11" s="10" t="s">
        <v>692</v>
      </c>
    </row>
    <row r="12" spans="1:11" ht="30" customHeight="1" x14ac:dyDescent="0.3">
      <c r="A12" s="18" t="s">
        <v>693</v>
      </c>
      <c r="B12" s="4" t="s">
        <v>694</v>
      </c>
      <c r="C12" s="4" t="s">
        <v>695</v>
      </c>
      <c r="D12" s="4" t="s">
        <v>696</v>
      </c>
      <c r="E12" s="4" t="s">
        <v>697</v>
      </c>
      <c r="F12" s="4" t="s">
        <v>698</v>
      </c>
      <c r="G12" s="10"/>
      <c r="H12" s="19" t="s">
        <v>67</v>
      </c>
      <c r="I12" s="18" t="s">
        <v>90</v>
      </c>
      <c r="J12" s="18" t="s">
        <v>223</v>
      </c>
      <c r="K12" s="10"/>
    </row>
  </sheetData>
  <autoFilter ref="A1:K12" xr:uid="{00000000-0009-0000-0000-00000C000000}"/>
  <conditionalFormatting sqref="H2:H500">
    <cfRule type="cellIs" dxfId="5" priority="2" operator="equal">
      <formula>"Pass"</formula>
    </cfRule>
    <cfRule type="cellIs" dxfId="4" priority="3" operator="equal">
      <formula>"Fail"</formula>
    </cfRule>
    <cfRule type="cellIs" dxfId="3" priority="4" operator="equal">
      <formula>"Blocked"</formula>
    </cfRule>
  </conditionalFormatting>
  <dataValidations count="3">
    <dataValidation type="list" allowBlank="1" sqref="H2:H500" xr:uid="{00000000-0002-0000-0C00-000000000000}">
      <formula1>"Not Run,Pass,Fail,Blocked"</formula1>
      <formula2>0</formula2>
    </dataValidation>
    <dataValidation type="list" allowBlank="1" sqref="I2:I500" xr:uid="{00000000-0002-0000-0C00-000001000000}">
      <formula1>"Critical,Major,Minor,Trivial"</formula1>
      <formula2>0</formula2>
    </dataValidation>
    <dataValidation type="list" allowBlank="1" sqref="J2:J500" xr:uid="{00000000-0002-0000-0C00-000002000000}">
      <formula1>"Selenium,Manual,Postman,Jest"</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1"/>
  <sheetViews>
    <sheetView zoomScaleNormal="100" workbookViewId="0">
      <pane xSplit="1" ySplit="1" topLeftCell="D14" activePane="bottomRight" state="frozen"/>
      <selection pane="topRight" activeCell="D1" sqref="D1"/>
      <selection pane="bottomLeft" activeCell="A14" sqref="A14"/>
      <selection pane="bottomRight" activeCell="I34" sqref="I34"/>
    </sheetView>
  </sheetViews>
  <sheetFormatPr defaultColWidth="8.6640625" defaultRowHeight="14.4" x14ac:dyDescent="0.3"/>
  <cols>
    <col min="1" max="1" width="9" customWidth="1"/>
    <col min="2" max="2" width="34" customWidth="1"/>
    <col min="3" max="3" width="9" customWidth="1"/>
    <col min="4" max="4" width="34" customWidth="1"/>
    <col min="5" max="5" width="28" customWidth="1"/>
    <col min="6" max="6" width="40" customWidth="1"/>
    <col min="7" max="7" width="12" customWidth="1"/>
    <col min="8" max="8" width="44" customWidth="1"/>
    <col min="9" max="9" width="26" customWidth="1"/>
    <col min="10" max="10" width="12" customWidth="1"/>
    <col min="11" max="11" width="11" customWidth="1"/>
    <col min="12" max="12" width="24" customWidth="1"/>
  </cols>
  <sheetData>
    <row r="1" spans="1:12" ht="31.5" customHeight="1" x14ac:dyDescent="0.3">
      <c r="A1" s="11" t="s">
        <v>23</v>
      </c>
      <c r="B1" s="11" t="s">
        <v>699</v>
      </c>
      <c r="C1" s="11" t="s">
        <v>700</v>
      </c>
      <c r="D1" s="11" t="s">
        <v>25</v>
      </c>
      <c r="E1" s="11" t="s">
        <v>701</v>
      </c>
      <c r="F1" s="11" t="s">
        <v>702</v>
      </c>
      <c r="G1" s="11" t="s">
        <v>703</v>
      </c>
      <c r="H1" s="11" t="s">
        <v>704</v>
      </c>
      <c r="I1" s="11" t="s">
        <v>95</v>
      </c>
      <c r="J1" s="11" t="s">
        <v>6</v>
      </c>
      <c r="K1" s="11" t="s">
        <v>8</v>
      </c>
      <c r="L1" s="11" t="s">
        <v>96</v>
      </c>
    </row>
    <row r="2" spans="1:12" ht="55.5" customHeight="1" x14ac:dyDescent="0.3">
      <c r="A2" s="18" t="s">
        <v>705</v>
      </c>
      <c r="B2" s="4" t="s">
        <v>706</v>
      </c>
      <c r="C2" s="18" t="s">
        <v>707</v>
      </c>
      <c r="D2" s="4" t="s">
        <v>708</v>
      </c>
      <c r="E2" s="4" t="s">
        <v>207</v>
      </c>
      <c r="F2" s="4" t="s">
        <v>207</v>
      </c>
      <c r="G2" s="18" t="s">
        <v>709</v>
      </c>
      <c r="H2" s="4" t="s">
        <v>710</v>
      </c>
      <c r="I2" s="20" t="s">
        <v>711</v>
      </c>
      <c r="J2" s="19" t="s">
        <v>65</v>
      </c>
      <c r="K2" s="18" t="s">
        <v>89</v>
      </c>
      <c r="L2" s="10"/>
    </row>
    <row r="3" spans="1:12" ht="16.5" customHeight="1" x14ac:dyDescent="0.3">
      <c r="A3" s="18" t="s">
        <v>712</v>
      </c>
      <c r="B3" s="4" t="s">
        <v>713</v>
      </c>
      <c r="C3" s="18" t="s">
        <v>707</v>
      </c>
      <c r="D3" s="4" t="s">
        <v>714</v>
      </c>
      <c r="E3" s="4" t="s">
        <v>715</v>
      </c>
      <c r="F3" s="4" t="s">
        <v>207</v>
      </c>
      <c r="G3" s="18" t="s">
        <v>709</v>
      </c>
      <c r="H3" s="4" t="s">
        <v>716</v>
      </c>
      <c r="I3" s="20" t="s">
        <v>717</v>
      </c>
      <c r="J3" s="19" t="s">
        <v>65</v>
      </c>
      <c r="K3" s="18" t="s">
        <v>89</v>
      </c>
      <c r="L3" s="10"/>
    </row>
    <row r="4" spans="1:12" ht="16.5" customHeight="1" x14ac:dyDescent="0.3">
      <c r="A4" s="18" t="s">
        <v>718</v>
      </c>
      <c r="B4" s="4" t="s">
        <v>719</v>
      </c>
      <c r="C4" s="18" t="s">
        <v>707</v>
      </c>
      <c r="D4" s="4" t="s">
        <v>720</v>
      </c>
      <c r="E4" s="4" t="s">
        <v>721</v>
      </c>
      <c r="F4" s="4" t="s">
        <v>207</v>
      </c>
      <c r="G4" s="18" t="s">
        <v>709</v>
      </c>
      <c r="H4" s="4" t="s">
        <v>722</v>
      </c>
      <c r="I4" s="20" t="s">
        <v>723</v>
      </c>
      <c r="J4" s="19" t="s">
        <v>65</v>
      </c>
      <c r="K4" s="18" t="s">
        <v>89</v>
      </c>
      <c r="L4" s="10"/>
    </row>
    <row r="5" spans="1:12" ht="16.5" customHeight="1" x14ac:dyDescent="0.3">
      <c r="A5" s="18" t="s">
        <v>724</v>
      </c>
      <c r="B5" s="4" t="s">
        <v>725</v>
      </c>
      <c r="C5" s="18" t="s">
        <v>707</v>
      </c>
      <c r="D5" s="4" t="s">
        <v>258</v>
      </c>
      <c r="E5" s="4" t="s">
        <v>726</v>
      </c>
      <c r="F5" s="4" t="s">
        <v>207</v>
      </c>
      <c r="G5" s="18" t="s">
        <v>709</v>
      </c>
      <c r="H5" s="4" t="s">
        <v>727</v>
      </c>
      <c r="I5" s="20" t="s">
        <v>728</v>
      </c>
      <c r="J5" s="19" t="s">
        <v>65</v>
      </c>
      <c r="K5" s="18" t="s">
        <v>89</v>
      </c>
      <c r="L5" s="10"/>
    </row>
    <row r="6" spans="1:12" ht="30" customHeight="1" x14ac:dyDescent="0.3">
      <c r="A6" s="18" t="s">
        <v>729</v>
      </c>
      <c r="B6" s="4" t="s">
        <v>730</v>
      </c>
      <c r="C6" s="18" t="s">
        <v>707</v>
      </c>
      <c r="D6" s="4" t="s">
        <v>731</v>
      </c>
      <c r="E6" s="4" t="s">
        <v>732</v>
      </c>
      <c r="F6" s="4" t="s">
        <v>207</v>
      </c>
      <c r="G6" s="18" t="s">
        <v>709</v>
      </c>
      <c r="H6" s="4" t="s">
        <v>733</v>
      </c>
      <c r="I6" s="20" t="s">
        <v>734</v>
      </c>
      <c r="J6" s="19" t="s">
        <v>65</v>
      </c>
      <c r="K6" s="18" t="s">
        <v>89</v>
      </c>
      <c r="L6" s="10"/>
    </row>
    <row r="7" spans="1:12" ht="30" customHeight="1" x14ac:dyDescent="0.3">
      <c r="A7" s="18" t="s">
        <v>735</v>
      </c>
      <c r="B7" s="4" t="s">
        <v>736</v>
      </c>
      <c r="C7" s="18" t="s">
        <v>707</v>
      </c>
      <c r="D7" s="4" t="s">
        <v>737</v>
      </c>
      <c r="E7" s="4" t="s">
        <v>738</v>
      </c>
      <c r="F7" s="4" t="s">
        <v>207</v>
      </c>
      <c r="G7" s="18" t="s">
        <v>709</v>
      </c>
      <c r="H7" s="4" t="s">
        <v>739</v>
      </c>
      <c r="I7" s="20" t="s">
        <v>740</v>
      </c>
      <c r="J7" s="19" t="s">
        <v>65</v>
      </c>
      <c r="K7" s="18" t="s">
        <v>89</v>
      </c>
      <c r="L7" s="10"/>
    </row>
    <row r="8" spans="1:12" ht="30" customHeight="1" x14ac:dyDescent="0.3">
      <c r="A8" s="18" t="s">
        <v>741</v>
      </c>
      <c r="B8" s="4" t="s">
        <v>742</v>
      </c>
      <c r="C8" s="18" t="s">
        <v>707</v>
      </c>
      <c r="D8" s="4" t="s">
        <v>743</v>
      </c>
      <c r="E8" s="4" t="s">
        <v>744</v>
      </c>
      <c r="F8" s="4" t="s">
        <v>207</v>
      </c>
      <c r="G8" s="18" t="s">
        <v>709</v>
      </c>
      <c r="H8" s="4" t="s">
        <v>745</v>
      </c>
      <c r="I8" s="20" t="s">
        <v>746</v>
      </c>
      <c r="J8" s="19" t="s">
        <v>65</v>
      </c>
      <c r="K8" s="18" t="s">
        <v>89</v>
      </c>
      <c r="L8" s="10"/>
    </row>
    <row r="9" spans="1:12" ht="30" customHeight="1" x14ac:dyDescent="0.3">
      <c r="A9" s="18" t="s">
        <v>747</v>
      </c>
      <c r="B9" s="4" t="s">
        <v>748</v>
      </c>
      <c r="C9" s="18" t="s">
        <v>707</v>
      </c>
      <c r="D9" s="4" t="s">
        <v>749</v>
      </c>
      <c r="E9" s="4" t="s">
        <v>750</v>
      </c>
      <c r="F9" s="4" t="s">
        <v>207</v>
      </c>
      <c r="G9" s="18" t="s">
        <v>709</v>
      </c>
      <c r="H9" s="4" t="s">
        <v>751</v>
      </c>
      <c r="I9" s="20" t="s">
        <v>752</v>
      </c>
      <c r="J9" s="19" t="s">
        <v>65</v>
      </c>
      <c r="K9" s="18" t="s">
        <v>89</v>
      </c>
      <c r="L9" s="10"/>
    </row>
    <row r="10" spans="1:12" ht="16.5" customHeight="1" x14ac:dyDescent="0.3">
      <c r="A10" s="18" t="s">
        <v>753</v>
      </c>
      <c r="B10" s="4" t="s">
        <v>754</v>
      </c>
      <c r="C10" s="18" t="s">
        <v>707</v>
      </c>
      <c r="D10" s="4" t="s">
        <v>755</v>
      </c>
      <c r="E10" s="4" t="s">
        <v>756</v>
      </c>
      <c r="F10" s="4" t="s">
        <v>207</v>
      </c>
      <c r="G10" s="18" t="s">
        <v>709</v>
      </c>
      <c r="H10" s="4" t="s">
        <v>757</v>
      </c>
      <c r="I10" s="20" t="s">
        <v>758</v>
      </c>
      <c r="J10" s="19" t="s">
        <v>65</v>
      </c>
      <c r="K10" s="18" t="s">
        <v>90</v>
      </c>
      <c r="L10" s="10"/>
    </row>
    <row r="11" spans="1:12" ht="16.5" customHeight="1" x14ac:dyDescent="0.3">
      <c r="A11" s="18" t="s">
        <v>759</v>
      </c>
      <c r="B11" s="4" t="s">
        <v>760</v>
      </c>
      <c r="C11" s="18" t="s">
        <v>707</v>
      </c>
      <c r="D11" s="4" t="s">
        <v>761</v>
      </c>
      <c r="E11" s="4" t="s">
        <v>207</v>
      </c>
      <c r="F11" s="4" t="s">
        <v>207</v>
      </c>
      <c r="G11" s="18" t="s">
        <v>709</v>
      </c>
      <c r="H11" s="4" t="s">
        <v>762</v>
      </c>
      <c r="I11" s="20" t="s">
        <v>763</v>
      </c>
      <c r="J11" s="19" t="s">
        <v>65</v>
      </c>
      <c r="K11" s="18" t="s">
        <v>89</v>
      </c>
      <c r="L11" s="10"/>
    </row>
    <row r="12" spans="1:12" ht="16.5" customHeight="1" x14ac:dyDescent="0.3">
      <c r="A12" s="18" t="s">
        <v>764</v>
      </c>
      <c r="B12" s="4" t="s">
        <v>765</v>
      </c>
      <c r="C12" s="18" t="s">
        <v>707</v>
      </c>
      <c r="D12" s="4" t="s">
        <v>766</v>
      </c>
      <c r="E12" s="4" t="s">
        <v>207</v>
      </c>
      <c r="F12" s="4" t="s">
        <v>207</v>
      </c>
      <c r="G12" s="18" t="s">
        <v>767</v>
      </c>
      <c r="H12" s="4" t="s">
        <v>768</v>
      </c>
      <c r="I12" s="20" t="s">
        <v>769</v>
      </c>
      <c r="J12" s="19" t="s">
        <v>65</v>
      </c>
      <c r="K12" s="18" t="s">
        <v>90</v>
      </c>
      <c r="L12" s="10"/>
    </row>
    <row r="13" spans="1:12" ht="16.5" customHeight="1" x14ac:dyDescent="0.3">
      <c r="A13" s="18" t="s">
        <v>770</v>
      </c>
      <c r="B13" s="4" t="s">
        <v>771</v>
      </c>
      <c r="C13" s="18" t="s">
        <v>707</v>
      </c>
      <c r="D13" s="4" t="s">
        <v>772</v>
      </c>
      <c r="E13" s="4" t="s">
        <v>207</v>
      </c>
      <c r="F13" s="4" t="s">
        <v>207</v>
      </c>
      <c r="G13" s="18" t="s">
        <v>709</v>
      </c>
      <c r="H13" s="4" t="s">
        <v>773</v>
      </c>
      <c r="I13" s="20" t="s">
        <v>774</v>
      </c>
      <c r="J13" s="19" t="s">
        <v>65</v>
      </c>
      <c r="K13" s="18" t="s">
        <v>90</v>
      </c>
      <c r="L13" s="10"/>
    </row>
    <row r="14" spans="1:12" ht="42.75" customHeight="1" x14ac:dyDescent="0.3">
      <c r="A14" s="18" t="s">
        <v>775</v>
      </c>
      <c r="B14" s="4" t="s">
        <v>776</v>
      </c>
      <c r="C14" s="18" t="s">
        <v>777</v>
      </c>
      <c r="D14" s="4" t="s">
        <v>778</v>
      </c>
      <c r="E14" s="4" t="s">
        <v>779</v>
      </c>
      <c r="F14" s="4" t="s">
        <v>780</v>
      </c>
      <c r="G14" s="18" t="s">
        <v>781</v>
      </c>
      <c r="H14" s="4" t="s">
        <v>782</v>
      </c>
      <c r="I14" s="20" t="s">
        <v>783</v>
      </c>
      <c r="J14" s="19" t="s">
        <v>65</v>
      </c>
      <c r="K14" s="18" t="s">
        <v>88</v>
      </c>
      <c r="L14" s="10"/>
    </row>
    <row r="15" spans="1:12" ht="30" customHeight="1" x14ac:dyDescent="0.3">
      <c r="A15" s="18" t="s">
        <v>784</v>
      </c>
      <c r="B15" s="4" t="s">
        <v>776</v>
      </c>
      <c r="C15" s="18" t="s">
        <v>777</v>
      </c>
      <c r="D15" s="4" t="s">
        <v>785</v>
      </c>
      <c r="E15" s="4" t="s">
        <v>779</v>
      </c>
      <c r="F15" s="4" t="s">
        <v>786</v>
      </c>
      <c r="G15" s="18" t="s">
        <v>787</v>
      </c>
      <c r="H15" s="4" t="s">
        <v>788</v>
      </c>
      <c r="I15" s="20" t="s">
        <v>789</v>
      </c>
      <c r="J15" s="19" t="s">
        <v>65</v>
      </c>
      <c r="K15" s="18" t="s">
        <v>89</v>
      </c>
      <c r="L15" s="10"/>
    </row>
    <row r="16" spans="1:12" ht="30" customHeight="1" x14ac:dyDescent="0.3">
      <c r="A16" s="18" t="s">
        <v>790</v>
      </c>
      <c r="B16" s="4" t="s">
        <v>776</v>
      </c>
      <c r="C16" s="18" t="s">
        <v>777</v>
      </c>
      <c r="D16" s="4" t="s">
        <v>791</v>
      </c>
      <c r="E16" s="4" t="s">
        <v>779</v>
      </c>
      <c r="F16" s="4" t="s">
        <v>792</v>
      </c>
      <c r="G16" s="18" t="s">
        <v>787</v>
      </c>
      <c r="H16" s="4" t="s">
        <v>788</v>
      </c>
      <c r="I16" s="20" t="s">
        <v>789</v>
      </c>
      <c r="J16" s="19" t="s">
        <v>65</v>
      </c>
      <c r="K16" s="18" t="s">
        <v>89</v>
      </c>
      <c r="L16" s="10"/>
    </row>
    <row r="17" spans="1:12" ht="30" customHeight="1" x14ac:dyDescent="0.3">
      <c r="A17" s="18" t="s">
        <v>793</v>
      </c>
      <c r="B17" s="4" t="s">
        <v>776</v>
      </c>
      <c r="C17" s="18" t="s">
        <v>777</v>
      </c>
      <c r="D17" s="4" t="s">
        <v>794</v>
      </c>
      <c r="E17" s="4" t="s">
        <v>779</v>
      </c>
      <c r="F17" s="4" t="s">
        <v>795</v>
      </c>
      <c r="G17" s="18" t="s">
        <v>796</v>
      </c>
      <c r="H17" s="4" t="s">
        <v>797</v>
      </c>
      <c r="I17" s="20" t="s">
        <v>798</v>
      </c>
      <c r="J17" s="19" t="s">
        <v>65</v>
      </c>
      <c r="K17" s="18" t="s">
        <v>89</v>
      </c>
      <c r="L17" s="10"/>
    </row>
    <row r="18" spans="1:12" ht="30" customHeight="1" x14ac:dyDescent="0.3">
      <c r="A18" s="18" t="s">
        <v>799</v>
      </c>
      <c r="B18" s="4" t="s">
        <v>776</v>
      </c>
      <c r="C18" s="18" t="s">
        <v>777</v>
      </c>
      <c r="D18" s="4" t="s">
        <v>800</v>
      </c>
      <c r="E18" s="4" t="s">
        <v>779</v>
      </c>
      <c r="F18" s="4" t="s">
        <v>801</v>
      </c>
      <c r="G18" s="18" t="s">
        <v>787</v>
      </c>
      <c r="H18" s="4" t="s">
        <v>802</v>
      </c>
      <c r="I18" s="20" t="s">
        <v>803</v>
      </c>
      <c r="J18" s="19" t="s">
        <v>34</v>
      </c>
      <c r="K18" s="18" t="s">
        <v>89</v>
      </c>
      <c r="L18" s="10"/>
    </row>
    <row r="19" spans="1:12" ht="30" customHeight="1" x14ac:dyDescent="0.3">
      <c r="A19" s="18" t="s">
        <v>804</v>
      </c>
      <c r="B19" s="4" t="s">
        <v>805</v>
      </c>
      <c r="C19" s="18" t="s">
        <v>777</v>
      </c>
      <c r="D19" s="4" t="s">
        <v>806</v>
      </c>
      <c r="E19" s="4" t="s">
        <v>779</v>
      </c>
      <c r="F19" s="4" t="s">
        <v>807</v>
      </c>
      <c r="G19" s="18" t="s">
        <v>709</v>
      </c>
      <c r="H19" s="4" t="s">
        <v>808</v>
      </c>
      <c r="I19" s="20" t="s">
        <v>809</v>
      </c>
      <c r="J19" s="19" t="s">
        <v>65</v>
      </c>
      <c r="K19" s="18" t="s">
        <v>88</v>
      </c>
      <c r="L19" s="10"/>
    </row>
    <row r="20" spans="1:12" ht="30" customHeight="1" x14ac:dyDescent="0.3">
      <c r="A20" s="18" t="s">
        <v>810</v>
      </c>
      <c r="B20" s="4" t="s">
        <v>805</v>
      </c>
      <c r="C20" s="18" t="s">
        <v>777</v>
      </c>
      <c r="D20" s="4" t="s">
        <v>811</v>
      </c>
      <c r="E20" s="4" t="s">
        <v>779</v>
      </c>
      <c r="F20" s="4" t="s">
        <v>812</v>
      </c>
      <c r="G20" s="18" t="s">
        <v>813</v>
      </c>
      <c r="H20" s="4" t="s">
        <v>814</v>
      </c>
      <c r="I20" s="20" t="s">
        <v>815</v>
      </c>
      <c r="J20" s="19" t="s">
        <v>65</v>
      </c>
      <c r="K20" s="18" t="s">
        <v>89</v>
      </c>
      <c r="L20" s="10"/>
    </row>
    <row r="21" spans="1:12" ht="30" customHeight="1" x14ac:dyDescent="0.3">
      <c r="A21" s="18" t="s">
        <v>816</v>
      </c>
      <c r="B21" s="4" t="s">
        <v>805</v>
      </c>
      <c r="C21" s="18" t="s">
        <v>777</v>
      </c>
      <c r="D21" s="4" t="s">
        <v>817</v>
      </c>
      <c r="E21" s="4" t="s">
        <v>779</v>
      </c>
      <c r="F21" s="4" t="s">
        <v>818</v>
      </c>
      <c r="G21" s="18" t="s">
        <v>813</v>
      </c>
      <c r="H21" s="4" t="s">
        <v>819</v>
      </c>
      <c r="I21" s="20" t="s">
        <v>820</v>
      </c>
      <c r="J21" s="19" t="s">
        <v>65</v>
      </c>
      <c r="K21" s="18" t="s">
        <v>89</v>
      </c>
      <c r="L21" s="10"/>
    </row>
    <row r="22" spans="1:12" ht="30" customHeight="1" x14ac:dyDescent="0.3">
      <c r="A22" s="18" t="s">
        <v>821</v>
      </c>
      <c r="B22" s="4" t="s">
        <v>805</v>
      </c>
      <c r="C22" s="18" t="s">
        <v>777</v>
      </c>
      <c r="D22" s="4" t="s">
        <v>822</v>
      </c>
      <c r="E22" s="4" t="s">
        <v>779</v>
      </c>
      <c r="F22" s="4" t="s">
        <v>823</v>
      </c>
      <c r="G22" s="18" t="s">
        <v>813</v>
      </c>
      <c r="H22" s="4" t="s">
        <v>824</v>
      </c>
      <c r="I22" s="20" t="s">
        <v>825</v>
      </c>
      <c r="J22" s="19" t="s">
        <v>65</v>
      </c>
      <c r="K22" s="18" t="s">
        <v>90</v>
      </c>
      <c r="L22" s="10"/>
    </row>
    <row r="23" spans="1:12" ht="30" customHeight="1" x14ac:dyDescent="0.3">
      <c r="A23" s="18" t="s">
        <v>826</v>
      </c>
      <c r="B23" s="4" t="s">
        <v>805</v>
      </c>
      <c r="C23" s="18" t="s">
        <v>777</v>
      </c>
      <c r="D23" s="4" t="s">
        <v>827</v>
      </c>
      <c r="E23" s="4" t="s">
        <v>779</v>
      </c>
      <c r="F23" s="4" t="s">
        <v>828</v>
      </c>
      <c r="G23" s="18" t="s">
        <v>813</v>
      </c>
      <c r="H23" s="4" t="s">
        <v>829</v>
      </c>
      <c r="I23" s="20" t="s">
        <v>830</v>
      </c>
      <c r="J23" s="19" t="s">
        <v>65</v>
      </c>
      <c r="K23" s="18" t="s">
        <v>89</v>
      </c>
      <c r="L23" s="10"/>
    </row>
    <row r="24" spans="1:12" ht="30" customHeight="1" x14ac:dyDescent="0.3">
      <c r="A24" s="18" t="s">
        <v>831</v>
      </c>
      <c r="B24" s="4" t="s">
        <v>832</v>
      </c>
      <c r="C24" s="18" t="s">
        <v>707</v>
      </c>
      <c r="D24" s="4" t="s">
        <v>833</v>
      </c>
      <c r="E24" s="4" t="s">
        <v>834</v>
      </c>
      <c r="F24" s="4" t="s">
        <v>207</v>
      </c>
      <c r="G24" s="18" t="s">
        <v>813</v>
      </c>
      <c r="H24" s="4" t="s">
        <v>835</v>
      </c>
      <c r="I24" s="20" t="s">
        <v>836</v>
      </c>
      <c r="J24" s="19" t="s">
        <v>34</v>
      </c>
      <c r="K24" s="18" t="s">
        <v>88</v>
      </c>
      <c r="L24" s="10" t="s">
        <v>837</v>
      </c>
    </row>
    <row r="25" spans="1:12" ht="30" customHeight="1" x14ac:dyDescent="0.3">
      <c r="A25" s="18" t="s">
        <v>838</v>
      </c>
      <c r="B25" s="4" t="s">
        <v>832</v>
      </c>
      <c r="C25" s="18" t="s">
        <v>707</v>
      </c>
      <c r="D25" s="4" t="s">
        <v>839</v>
      </c>
      <c r="E25" s="4" t="s">
        <v>840</v>
      </c>
      <c r="F25" s="4" t="s">
        <v>207</v>
      </c>
      <c r="G25" s="18" t="s">
        <v>709</v>
      </c>
      <c r="H25" s="4" t="s">
        <v>841</v>
      </c>
      <c r="I25" s="20" t="s">
        <v>842</v>
      </c>
      <c r="J25" s="19" t="s">
        <v>65</v>
      </c>
      <c r="K25" s="18" t="s">
        <v>89</v>
      </c>
      <c r="L25" s="10"/>
    </row>
    <row r="26" spans="1:12" ht="30" customHeight="1" x14ac:dyDescent="0.3">
      <c r="A26" s="18" t="s">
        <v>843</v>
      </c>
      <c r="B26" s="4" t="s">
        <v>844</v>
      </c>
      <c r="C26" s="18" t="s">
        <v>707</v>
      </c>
      <c r="D26" s="4" t="s">
        <v>845</v>
      </c>
      <c r="E26" s="4" t="s">
        <v>846</v>
      </c>
      <c r="F26" s="4" t="s">
        <v>207</v>
      </c>
      <c r="G26" s="18" t="s">
        <v>847</v>
      </c>
      <c r="H26" s="4" t="s">
        <v>848</v>
      </c>
      <c r="I26" s="20" t="s">
        <v>849</v>
      </c>
      <c r="J26" s="19" t="s">
        <v>34</v>
      </c>
      <c r="K26" s="18" t="s">
        <v>88</v>
      </c>
      <c r="L26" s="10" t="s">
        <v>850</v>
      </c>
    </row>
    <row r="27" spans="1:12" ht="55.5" customHeight="1" x14ac:dyDescent="0.3">
      <c r="A27" s="18" t="s">
        <v>851</v>
      </c>
      <c r="B27" s="4" t="s">
        <v>706</v>
      </c>
      <c r="C27" s="18" t="s">
        <v>777</v>
      </c>
      <c r="D27" s="4" t="s">
        <v>852</v>
      </c>
      <c r="E27" s="4" t="s">
        <v>779</v>
      </c>
      <c r="F27" s="4" t="s">
        <v>853</v>
      </c>
      <c r="G27" s="18" t="s">
        <v>854</v>
      </c>
      <c r="H27" s="4" t="s">
        <v>855</v>
      </c>
      <c r="I27" s="20" t="s">
        <v>856</v>
      </c>
      <c r="J27" s="19" t="s">
        <v>34</v>
      </c>
      <c r="K27" s="18" t="s">
        <v>88</v>
      </c>
      <c r="L27" s="10" t="s">
        <v>857</v>
      </c>
    </row>
    <row r="28" spans="1:12" ht="30" customHeight="1" x14ac:dyDescent="0.3">
      <c r="A28" s="18" t="s">
        <v>858</v>
      </c>
      <c r="B28" s="4" t="s">
        <v>859</v>
      </c>
      <c r="C28" s="18" t="s">
        <v>860</v>
      </c>
      <c r="D28" s="4" t="s">
        <v>861</v>
      </c>
      <c r="E28" s="4" t="s">
        <v>779</v>
      </c>
      <c r="F28" s="4" t="s">
        <v>862</v>
      </c>
      <c r="G28" s="18" t="s">
        <v>854</v>
      </c>
      <c r="H28" s="4" t="s">
        <v>863</v>
      </c>
      <c r="I28" s="20" t="s">
        <v>864</v>
      </c>
      <c r="J28" s="19" t="s">
        <v>34</v>
      </c>
      <c r="K28" s="18" t="s">
        <v>88</v>
      </c>
      <c r="L28" s="10" t="s">
        <v>857</v>
      </c>
    </row>
    <row r="29" spans="1:12" ht="30" customHeight="1" x14ac:dyDescent="0.3">
      <c r="A29" s="18" t="s">
        <v>865</v>
      </c>
      <c r="B29" s="4" t="s">
        <v>859</v>
      </c>
      <c r="C29" s="18" t="s">
        <v>866</v>
      </c>
      <c r="D29" s="4" t="s">
        <v>867</v>
      </c>
      <c r="E29" s="4" t="s">
        <v>846</v>
      </c>
      <c r="F29" s="4" t="s">
        <v>207</v>
      </c>
      <c r="G29" s="18" t="s">
        <v>854</v>
      </c>
      <c r="H29" s="4" t="s">
        <v>863</v>
      </c>
      <c r="I29" s="20" t="s">
        <v>868</v>
      </c>
      <c r="J29" s="19" t="s">
        <v>34</v>
      </c>
      <c r="K29" s="18" t="s">
        <v>88</v>
      </c>
      <c r="L29" s="10" t="s">
        <v>857</v>
      </c>
    </row>
    <row r="30" spans="1:12" ht="30" customHeight="1" x14ac:dyDescent="0.3">
      <c r="A30" s="18" t="s">
        <v>869</v>
      </c>
      <c r="B30" s="4" t="s">
        <v>805</v>
      </c>
      <c r="C30" s="18" t="s">
        <v>777</v>
      </c>
      <c r="D30" s="4" t="s">
        <v>870</v>
      </c>
      <c r="E30" s="4" t="s">
        <v>779</v>
      </c>
      <c r="F30" s="4" t="s">
        <v>807</v>
      </c>
      <c r="G30" s="18" t="s">
        <v>709</v>
      </c>
      <c r="H30" s="4" t="s">
        <v>871</v>
      </c>
      <c r="I30" s="20" t="s">
        <v>872</v>
      </c>
      <c r="J30" s="19" t="s">
        <v>34</v>
      </c>
      <c r="K30" s="18" t="s">
        <v>89</v>
      </c>
      <c r="L30" s="10" t="s">
        <v>873</v>
      </c>
    </row>
    <row r="31" spans="1:12" ht="16.5" customHeight="1" x14ac:dyDescent="0.3">
      <c r="A31" s="18" t="s">
        <v>874</v>
      </c>
      <c r="B31" s="4" t="s">
        <v>875</v>
      </c>
      <c r="C31" s="18" t="s">
        <v>707</v>
      </c>
      <c r="D31" s="4" t="s">
        <v>876</v>
      </c>
      <c r="E31" s="4" t="s">
        <v>207</v>
      </c>
      <c r="F31" s="4" t="s">
        <v>207</v>
      </c>
      <c r="G31" s="18" t="s">
        <v>709</v>
      </c>
      <c r="H31" s="4" t="s">
        <v>877</v>
      </c>
      <c r="I31" s="20" t="s">
        <v>878</v>
      </c>
      <c r="J31" s="19" t="s">
        <v>65</v>
      </c>
      <c r="K31" s="18" t="s">
        <v>90</v>
      </c>
      <c r="L31" s="10"/>
    </row>
  </sheetData>
  <autoFilter ref="A1:L31" xr:uid="{00000000-0009-0000-0000-00000D000000}"/>
  <conditionalFormatting sqref="J2:J500">
    <cfRule type="cellIs" dxfId="2" priority="2" operator="equal">
      <formula>"Pass"</formula>
    </cfRule>
    <cfRule type="cellIs" dxfId="1" priority="3" operator="equal">
      <formula>"Fail"</formula>
    </cfRule>
    <cfRule type="cellIs" dxfId="0" priority="4" operator="equal">
      <formula>"Blocked"</formula>
    </cfRule>
  </conditionalFormatting>
  <dataValidations count="2">
    <dataValidation type="list" allowBlank="1" sqref="J2:J500" xr:uid="{00000000-0002-0000-0D00-000000000000}">
      <formula1>"Not Run,Pass,Fail,Blocked"</formula1>
      <formula2>0</formula2>
    </dataValidation>
    <dataValidation type="list" allowBlank="1" sqref="K2:K500" xr:uid="{00000000-0002-0000-0D00-000001000000}">
      <formula1>"Critical,Major,Minor,Trivial"</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tabSelected="1" zoomScaleNormal="100" workbookViewId="0">
      <pane xSplit="1" ySplit="1" topLeftCell="B2" activePane="bottomRight" state="frozen"/>
      <selection pane="topRight" activeCell="D1" sqref="D1"/>
      <selection pane="bottomLeft" activeCell="A14" sqref="A14"/>
      <selection pane="bottomRight" activeCell="J11" sqref="J11"/>
    </sheetView>
  </sheetViews>
  <sheetFormatPr defaultColWidth="8.6640625" defaultRowHeight="14.4" x14ac:dyDescent="0.3"/>
  <cols>
    <col min="1" max="1" width="9" customWidth="1"/>
    <col min="2" max="2" width="14" customWidth="1"/>
    <col min="3" max="3" width="18" customWidth="1"/>
    <col min="4" max="4" width="36" customWidth="1"/>
    <col min="5" max="5" width="40" customWidth="1"/>
    <col min="6" max="6" width="32" customWidth="1"/>
    <col min="7" max="7" width="28" customWidth="1"/>
    <col min="8" max="9" width="11" customWidth="1"/>
    <col min="10" max="10" width="18" customWidth="1"/>
    <col min="11" max="11" width="44" customWidth="1"/>
    <col min="12" max="12" width="22" customWidth="1"/>
    <col min="13" max="13" width="14" customWidth="1"/>
    <col min="14" max="14" width="16" customWidth="1"/>
  </cols>
  <sheetData>
    <row r="1" spans="1:14" ht="31.5" customHeight="1" x14ac:dyDescent="0.3">
      <c r="A1" s="11" t="s">
        <v>879</v>
      </c>
      <c r="B1" s="11" t="s">
        <v>880</v>
      </c>
      <c r="C1" s="11" t="s">
        <v>63</v>
      </c>
      <c r="D1" s="11" t="s">
        <v>881</v>
      </c>
      <c r="E1" s="11" t="s">
        <v>882</v>
      </c>
      <c r="F1" s="11" t="s">
        <v>29</v>
      </c>
      <c r="G1" s="11" t="s">
        <v>95</v>
      </c>
      <c r="H1" s="11" t="s">
        <v>83</v>
      </c>
      <c r="I1" s="11" t="s">
        <v>883</v>
      </c>
      <c r="J1" s="11" t="s">
        <v>6</v>
      </c>
      <c r="K1" s="11" t="s">
        <v>884</v>
      </c>
      <c r="L1" s="11" t="s">
        <v>885</v>
      </c>
      <c r="M1" s="11" t="s">
        <v>886</v>
      </c>
      <c r="N1" s="11" t="s">
        <v>887</v>
      </c>
    </row>
    <row r="2" spans="1:14" ht="108" customHeight="1" x14ac:dyDescent="0.3">
      <c r="A2" s="18" t="s">
        <v>888</v>
      </c>
      <c r="B2" s="18" t="s">
        <v>24</v>
      </c>
      <c r="C2" s="4" t="s">
        <v>70</v>
      </c>
      <c r="D2" s="4" t="s">
        <v>889</v>
      </c>
      <c r="E2" s="4" t="s">
        <v>890</v>
      </c>
      <c r="F2" s="4" t="s">
        <v>891</v>
      </c>
      <c r="G2" s="10" t="s">
        <v>892</v>
      </c>
      <c r="H2" s="18" t="s">
        <v>89</v>
      </c>
      <c r="I2" s="18" t="s">
        <v>893</v>
      </c>
      <c r="J2" s="19" t="s">
        <v>86</v>
      </c>
      <c r="K2" s="4" t="s">
        <v>894</v>
      </c>
      <c r="L2" s="10" t="s">
        <v>895</v>
      </c>
      <c r="M2" s="10" t="s">
        <v>896</v>
      </c>
      <c r="N2" s="10"/>
    </row>
    <row r="3" spans="1:14" ht="42.75" customHeight="1" x14ac:dyDescent="0.3">
      <c r="A3" s="18" t="s">
        <v>897</v>
      </c>
      <c r="B3" s="18" t="s">
        <v>843</v>
      </c>
      <c r="C3" s="4" t="s">
        <v>898</v>
      </c>
      <c r="D3" s="4" t="s">
        <v>899</v>
      </c>
      <c r="E3" s="4" t="s">
        <v>900</v>
      </c>
      <c r="F3" s="4" t="s">
        <v>901</v>
      </c>
      <c r="G3" s="10" t="s">
        <v>902</v>
      </c>
      <c r="H3" s="18" t="s">
        <v>88</v>
      </c>
      <c r="I3" s="18" t="s">
        <v>893</v>
      </c>
      <c r="J3" s="19" t="s">
        <v>86</v>
      </c>
      <c r="K3" s="4" t="s">
        <v>903</v>
      </c>
      <c r="L3" s="10"/>
      <c r="M3" s="10"/>
      <c r="N3" s="10"/>
    </row>
    <row r="4" spans="1:14" ht="42.75" customHeight="1" x14ac:dyDescent="0.3">
      <c r="A4" s="18" t="s">
        <v>904</v>
      </c>
      <c r="B4" s="18" t="s">
        <v>831</v>
      </c>
      <c r="C4" s="4" t="s">
        <v>898</v>
      </c>
      <c r="D4" s="4" t="s">
        <v>905</v>
      </c>
      <c r="E4" s="4" t="s">
        <v>906</v>
      </c>
      <c r="F4" s="4" t="s">
        <v>907</v>
      </c>
      <c r="G4" s="20" t="s">
        <v>908</v>
      </c>
      <c r="H4" s="18" t="s">
        <v>88</v>
      </c>
      <c r="I4" s="18" t="s">
        <v>893</v>
      </c>
      <c r="J4" s="19" t="s">
        <v>86</v>
      </c>
      <c r="K4" s="4" t="s">
        <v>909</v>
      </c>
      <c r="L4" s="10"/>
      <c r="M4" s="10"/>
      <c r="N4" s="10"/>
    </row>
    <row r="5" spans="1:14" ht="81.75" customHeight="1" x14ac:dyDescent="0.3">
      <c r="A5" s="18" t="s">
        <v>910</v>
      </c>
      <c r="B5" s="18" t="s">
        <v>593</v>
      </c>
      <c r="C5" s="4" t="s">
        <v>911</v>
      </c>
      <c r="D5" s="4" t="s">
        <v>912</v>
      </c>
      <c r="E5" s="4" t="s">
        <v>913</v>
      </c>
      <c r="F5" s="4" t="s">
        <v>914</v>
      </c>
      <c r="G5" s="20" t="s">
        <v>915</v>
      </c>
      <c r="H5" s="18" t="s">
        <v>88</v>
      </c>
      <c r="I5" s="18" t="s">
        <v>893</v>
      </c>
      <c r="J5" s="19" t="s">
        <v>86</v>
      </c>
      <c r="K5" s="4" t="s">
        <v>916</v>
      </c>
      <c r="L5" s="10" t="s">
        <v>917</v>
      </c>
      <c r="M5" s="10" t="s">
        <v>896</v>
      </c>
      <c r="N5" s="10"/>
    </row>
    <row r="6" spans="1:14" ht="69" customHeight="1" x14ac:dyDescent="0.3">
      <c r="A6" s="18" t="s">
        <v>918</v>
      </c>
      <c r="B6" s="18" t="s">
        <v>919</v>
      </c>
      <c r="C6" s="4" t="s">
        <v>898</v>
      </c>
      <c r="D6" s="4" t="s">
        <v>920</v>
      </c>
      <c r="E6" s="4" t="s">
        <v>921</v>
      </c>
      <c r="F6" s="4" t="s">
        <v>922</v>
      </c>
      <c r="G6" s="20" t="s">
        <v>923</v>
      </c>
      <c r="H6" s="18" t="s">
        <v>88</v>
      </c>
      <c r="I6" s="18" t="s">
        <v>893</v>
      </c>
      <c r="J6" s="19" t="s">
        <v>86</v>
      </c>
      <c r="K6" s="4" t="s">
        <v>924</v>
      </c>
      <c r="L6" s="10"/>
      <c r="M6" s="10"/>
      <c r="N6" s="10"/>
    </row>
    <row r="7" spans="1:14" ht="55.5" customHeight="1" x14ac:dyDescent="0.3">
      <c r="A7" s="18" t="s">
        <v>925</v>
      </c>
      <c r="B7" s="18" t="s">
        <v>549</v>
      </c>
      <c r="C7" s="4" t="s">
        <v>77</v>
      </c>
      <c r="D7" s="4" t="s">
        <v>926</v>
      </c>
      <c r="E7" s="4" t="s">
        <v>927</v>
      </c>
      <c r="F7" s="4" t="s">
        <v>928</v>
      </c>
      <c r="G7" s="10" t="s">
        <v>929</v>
      </c>
      <c r="H7" s="18" t="s">
        <v>89</v>
      </c>
      <c r="I7" s="18" t="s">
        <v>893</v>
      </c>
      <c r="J7" s="19" t="s">
        <v>930</v>
      </c>
      <c r="K7" s="4" t="s">
        <v>931</v>
      </c>
      <c r="L7" s="10"/>
      <c r="M7" s="10"/>
      <c r="N7" s="10"/>
    </row>
    <row r="8" spans="1:14" ht="42.75" customHeight="1" x14ac:dyDescent="0.3">
      <c r="A8" s="18" t="s">
        <v>932</v>
      </c>
      <c r="B8" s="18" t="s">
        <v>556</v>
      </c>
      <c r="C8" s="4" t="s">
        <v>77</v>
      </c>
      <c r="D8" s="4" t="s">
        <v>933</v>
      </c>
      <c r="E8" s="4" t="s">
        <v>934</v>
      </c>
      <c r="F8" s="4" t="s">
        <v>935</v>
      </c>
      <c r="G8" s="10" t="s">
        <v>929</v>
      </c>
      <c r="H8" s="18" t="s">
        <v>90</v>
      </c>
      <c r="I8" s="18" t="s">
        <v>936</v>
      </c>
      <c r="J8" s="19" t="s">
        <v>930</v>
      </c>
      <c r="K8" s="4" t="s">
        <v>937</v>
      </c>
      <c r="L8" s="10"/>
      <c r="M8" s="10"/>
      <c r="N8" s="10"/>
    </row>
    <row r="9" spans="1:14" ht="42.75" customHeight="1" x14ac:dyDescent="0.3">
      <c r="A9" s="18" t="s">
        <v>938</v>
      </c>
      <c r="B9" s="18" t="s">
        <v>218</v>
      </c>
      <c r="C9" s="4" t="s">
        <v>939</v>
      </c>
      <c r="D9" s="4" t="s">
        <v>940</v>
      </c>
      <c r="E9" s="4" t="s">
        <v>941</v>
      </c>
      <c r="F9" s="4" t="s">
        <v>942</v>
      </c>
      <c r="G9" s="10" t="s">
        <v>929</v>
      </c>
      <c r="H9" s="18" t="s">
        <v>89</v>
      </c>
      <c r="I9" s="18" t="s">
        <v>893</v>
      </c>
      <c r="J9" s="19" t="s">
        <v>930</v>
      </c>
      <c r="K9" s="4" t="s">
        <v>943</v>
      </c>
      <c r="L9" s="10" t="s">
        <v>944</v>
      </c>
      <c r="M9" s="10"/>
      <c r="N9" s="10"/>
    </row>
    <row r="10" spans="1:14" ht="81.75" customHeight="1" x14ac:dyDescent="0.3">
      <c r="A10" s="18" t="s">
        <v>945</v>
      </c>
      <c r="B10" s="18" t="s">
        <v>946</v>
      </c>
      <c r="C10" s="4" t="s">
        <v>74</v>
      </c>
      <c r="D10" s="4" t="s">
        <v>947</v>
      </c>
      <c r="E10" s="4" t="s">
        <v>948</v>
      </c>
      <c r="F10" s="4" t="s">
        <v>949</v>
      </c>
      <c r="G10" s="10" t="s">
        <v>950</v>
      </c>
      <c r="H10" s="18" t="s">
        <v>89</v>
      </c>
      <c r="I10" s="18" t="s">
        <v>936</v>
      </c>
      <c r="J10" s="19" t="s">
        <v>86</v>
      </c>
      <c r="K10" s="4" t="s">
        <v>951</v>
      </c>
      <c r="L10" s="10" t="s">
        <v>952</v>
      </c>
      <c r="M10" s="10" t="s">
        <v>896</v>
      </c>
      <c r="N10" s="10"/>
    </row>
    <row r="11" spans="1:14" ht="30" customHeight="1" x14ac:dyDescent="0.3">
      <c r="A11" s="18" t="s">
        <v>953</v>
      </c>
      <c r="B11" s="18" t="s">
        <v>579</v>
      </c>
      <c r="C11" s="4" t="s">
        <v>954</v>
      </c>
      <c r="D11" s="4" t="s">
        <v>955</v>
      </c>
      <c r="E11" s="4" t="s">
        <v>956</v>
      </c>
      <c r="F11" s="4" t="s">
        <v>957</v>
      </c>
      <c r="G11" s="10" t="s">
        <v>929</v>
      </c>
      <c r="H11" s="18" t="s">
        <v>89</v>
      </c>
      <c r="I11" s="18" t="s">
        <v>936</v>
      </c>
      <c r="J11" s="19" t="s">
        <v>930</v>
      </c>
      <c r="K11" s="4" t="s">
        <v>958</v>
      </c>
      <c r="L11" s="10"/>
      <c r="M11" s="10"/>
      <c r="N11" s="10"/>
    </row>
    <row r="12" spans="1:14" ht="69" customHeight="1" x14ac:dyDescent="0.3">
      <c r="A12" s="18" t="s">
        <v>959</v>
      </c>
      <c r="B12" s="18" t="s">
        <v>686</v>
      </c>
      <c r="C12" s="4" t="s">
        <v>79</v>
      </c>
      <c r="D12" s="4" t="s">
        <v>960</v>
      </c>
      <c r="E12" s="4" t="s">
        <v>961</v>
      </c>
      <c r="F12" s="4" t="s">
        <v>962</v>
      </c>
      <c r="G12" s="10" t="s">
        <v>963</v>
      </c>
      <c r="H12" s="18" t="s">
        <v>90</v>
      </c>
      <c r="I12" s="18" t="s">
        <v>964</v>
      </c>
      <c r="J12" s="19" t="s">
        <v>86</v>
      </c>
      <c r="K12" s="4" t="s">
        <v>965</v>
      </c>
      <c r="L12" s="10" t="s">
        <v>966</v>
      </c>
      <c r="M12" s="10" t="s">
        <v>896</v>
      </c>
      <c r="N12" s="10"/>
    </row>
    <row r="13" spans="1:14" ht="81.75" customHeight="1" x14ac:dyDescent="0.3">
      <c r="A13" s="18" t="s">
        <v>967</v>
      </c>
      <c r="B13" s="18" t="s">
        <v>188</v>
      </c>
      <c r="C13" s="4" t="s">
        <v>71</v>
      </c>
      <c r="D13" s="4" t="s">
        <v>968</v>
      </c>
      <c r="E13" s="4" t="s">
        <v>969</v>
      </c>
      <c r="F13" s="4" t="s">
        <v>970</v>
      </c>
      <c r="G13" s="10" t="s">
        <v>971</v>
      </c>
      <c r="H13" s="18" t="s">
        <v>90</v>
      </c>
      <c r="I13" s="18" t="s">
        <v>964</v>
      </c>
      <c r="J13" s="19" t="s">
        <v>86</v>
      </c>
      <c r="K13" s="4" t="s">
        <v>972</v>
      </c>
      <c r="L13" s="10" t="s">
        <v>973</v>
      </c>
      <c r="M13" s="10" t="s">
        <v>896</v>
      </c>
      <c r="N13" s="10"/>
    </row>
    <row r="14" spans="1:14" ht="69" customHeight="1" x14ac:dyDescent="0.3">
      <c r="A14" s="18" t="s">
        <v>974</v>
      </c>
      <c r="B14" s="18" t="s">
        <v>176</v>
      </c>
      <c r="C14" s="4" t="s">
        <v>71</v>
      </c>
      <c r="D14" s="4" t="s">
        <v>975</v>
      </c>
      <c r="E14" s="4" t="s">
        <v>976</v>
      </c>
      <c r="F14" s="4" t="s">
        <v>977</v>
      </c>
      <c r="G14" s="10" t="s">
        <v>978</v>
      </c>
      <c r="H14" s="18" t="s">
        <v>90</v>
      </c>
      <c r="I14" s="18" t="s">
        <v>964</v>
      </c>
      <c r="J14" s="19" t="s">
        <v>979</v>
      </c>
      <c r="K14" s="4" t="s">
        <v>980</v>
      </c>
      <c r="L14" s="10" t="s">
        <v>981</v>
      </c>
      <c r="M14" s="10" t="s">
        <v>896</v>
      </c>
      <c r="N14" s="10"/>
    </row>
    <row r="15" spans="1:14" ht="133.5" customHeight="1" x14ac:dyDescent="0.3">
      <c r="A15" s="18" t="s">
        <v>982</v>
      </c>
      <c r="B15" s="18" t="s">
        <v>983</v>
      </c>
      <c r="C15" s="4" t="s">
        <v>984</v>
      </c>
      <c r="D15" s="4" t="s">
        <v>985</v>
      </c>
      <c r="E15" s="4" t="s">
        <v>986</v>
      </c>
      <c r="F15" s="4" t="s">
        <v>539</v>
      </c>
      <c r="G15" s="10" t="s">
        <v>987</v>
      </c>
      <c r="H15" s="18" t="s">
        <v>90</v>
      </c>
      <c r="I15" s="18" t="s">
        <v>936</v>
      </c>
      <c r="J15" s="19" t="s">
        <v>930</v>
      </c>
      <c r="K15" s="4" t="s">
        <v>988</v>
      </c>
      <c r="L15" s="10" t="s">
        <v>989</v>
      </c>
      <c r="M15" s="10" t="s">
        <v>896</v>
      </c>
      <c r="N15" s="10"/>
    </row>
    <row r="16" spans="1:14" ht="42.75" customHeight="1" x14ac:dyDescent="0.3">
      <c r="A16" s="18" t="s">
        <v>990</v>
      </c>
      <c r="B16" s="18" t="s">
        <v>500</v>
      </c>
      <c r="C16" s="4" t="s">
        <v>991</v>
      </c>
      <c r="D16" s="4" t="s">
        <v>992</v>
      </c>
      <c r="E16" s="4" t="s">
        <v>993</v>
      </c>
      <c r="F16" s="4" t="s">
        <v>994</v>
      </c>
      <c r="G16" s="10" t="s">
        <v>929</v>
      </c>
      <c r="H16" s="18" t="s">
        <v>89</v>
      </c>
      <c r="I16" s="18" t="s">
        <v>936</v>
      </c>
      <c r="J16" s="19" t="s">
        <v>930</v>
      </c>
      <c r="K16" s="4" t="s">
        <v>995</v>
      </c>
      <c r="L16" s="10"/>
      <c r="M16" s="10"/>
      <c r="N16" s="10"/>
    </row>
    <row r="17" spans="1:14" ht="30" customHeight="1" x14ac:dyDescent="0.3">
      <c r="A17" s="18" t="s">
        <v>996</v>
      </c>
      <c r="B17" s="18" t="s">
        <v>307</v>
      </c>
      <c r="C17" s="4" t="s">
        <v>997</v>
      </c>
      <c r="D17" s="4" t="s">
        <v>998</v>
      </c>
      <c r="E17" s="4" t="s">
        <v>999</v>
      </c>
      <c r="F17" s="4" t="s">
        <v>1000</v>
      </c>
      <c r="G17" s="10" t="s">
        <v>929</v>
      </c>
      <c r="H17" s="18" t="s">
        <v>90</v>
      </c>
      <c r="I17" s="18" t="s">
        <v>936</v>
      </c>
      <c r="J17" s="19" t="s">
        <v>930</v>
      </c>
      <c r="K17" s="4" t="s">
        <v>1001</v>
      </c>
      <c r="L17" s="10"/>
      <c r="M17" s="10"/>
      <c r="N17" s="10"/>
    </row>
    <row r="18" spans="1:14" ht="30" customHeight="1" x14ac:dyDescent="0.3">
      <c r="A18" s="18" t="s">
        <v>1002</v>
      </c>
      <c r="B18" s="18" t="s">
        <v>869</v>
      </c>
      <c r="C18" s="4" t="s">
        <v>898</v>
      </c>
      <c r="D18" s="4" t="s">
        <v>1003</v>
      </c>
      <c r="E18" s="4" t="s">
        <v>1004</v>
      </c>
      <c r="F18" s="4" t="s">
        <v>1005</v>
      </c>
      <c r="G18" s="20" t="s">
        <v>1006</v>
      </c>
      <c r="H18" s="18" t="s">
        <v>89</v>
      </c>
      <c r="I18" s="18" t="s">
        <v>936</v>
      </c>
      <c r="J18" s="19" t="s">
        <v>930</v>
      </c>
      <c r="K18" s="4" t="s">
        <v>1007</v>
      </c>
      <c r="L18" s="10"/>
      <c r="M18" s="10"/>
      <c r="N18" s="10"/>
    </row>
    <row r="19" spans="1:14" ht="30" customHeight="1" x14ac:dyDescent="0.3">
      <c r="A19" s="18" t="s">
        <v>1008</v>
      </c>
      <c r="B19" s="18" t="s">
        <v>621</v>
      </c>
      <c r="C19" s="4" t="s">
        <v>1009</v>
      </c>
      <c r="D19" s="4" t="s">
        <v>1010</v>
      </c>
      <c r="E19" s="4" t="s">
        <v>1011</v>
      </c>
      <c r="F19" s="4" t="s">
        <v>1012</v>
      </c>
      <c r="G19" s="10" t="s">
        <v>929</v>
      </c>
      <c r="H19" s="18" t="s">
        <v>90</v>
      </c>
      <c r="I19" s="18" t="s">
        <v>964</v>
      </c>
      <c r="J19" s="19" t="s">
        <v>930</v>
      </c>
      <c r="K19" s="4" t="s">
        <v>1013</v>
      </c>
      <c r="L19" s="10"/>
      <c r="M19" s="10"/>
      <c r="N19" s="10"/>
    </row>
    <row r="20" spans="1:14" ht="94.5" customHeight="1" x14ac:dyDescent="0.3">
      <c r="A20" s="18" t="s">
        <v>1014</v>
      </c>
      <c r="B20" s="18" t="s">
        <v>1015</v>
      </c>
      <c r="C20" s="4" t="s">
        <v>1016</v>
      </c>
      <c r="D20" s="4" t="s">
        <v>1017</v>
      </c>
      <c r="E20" s="4" t="s">
        <v>1018</v>
      </c>
      <c r="F20" s="4" t="s">
        <v>1019</v>
      </c>
      <c r="G20" s="10" t="s">
        <v>1020</v>
      </c>
      <c r="H20" s="18" t="s">
        <v>90</v>
      </c>
      <c r="I20" s="18" t="s">
        <v>964</v>
      </c>
      <c r="J20" s="19" t="s">
        <v>86</v>
      </c>
      <c r="K20" s="4" t="s">
        <v>1021</v>
      </c>
      <c r="L20" s="10" t="s">
        <v>1022</v>
      </c>
      <c r="M20" s="10" t="s">
        <v>896</v>
      </c>
      <c r="N20" s="10"/>
    </row>
    <row r="21" spans="1:14" ht="26.25" customHeight="1" x14ac:dyDescent="0.3">
      <c r="A21" s="21" t="s">
        <v>1023</v>
      </c>
      <c r="B21" s="21" t="s">
        <v>799</v>
      </c>
      <c r="C21" s="22" t="s">
        <v>1024</v>
      </c>
      <c r="D21" s="22" t="s">
        <v>1025</v>
      </c>
      <c r="E21" s="22" t="s">
        <v>1026</v>
      </c>
      <c r="F21" s="22" t="s">
        <v>1027</v>
      </c>
      <c r="G21" s="23" t="s">
        <v>1028</v>
      </c>
      <c r="H21" s="21" t="s">
        <v>89</v>
      </c>
      <c r="I21" s="21" t="s">
        <v>936</v>
      </c>
      <c r="J21" s="24" t="s">
        <v>86</v>
      </c>
      <c r="K21" s="22" t="s">
        <v>1029</v>
      </c>
    </row>
    <row r="22" spans="1:14" ht="79.5" customHeight="1" x14ac:dyDescent="0.3">
      <c r="A22" s="18" t="s">
        <v>1030</v>
      </c>
      <c r="B22" s="18" t="s">
        <v>1031</v>
      </c>
      <c r="C22" s="4" t="s">
        <v>1032</v>
      </c>
      <c r="D22" s="4" t="s">
        <v>1033</v>
      </c>
      <c r="E22" s="4" t="s">
        <v>1034</v>
      </c>
      <c r="F22" s="4" t="s">
        <v>1035</v>
      </c>
      <c r="G22" s="10" t="s">
        <v>1036</v>
      </c>
      <c r="H22" s="18" t="s">
        <v>90</v>
      </c>
      <c r="I22" s="18" t="s">
        <v>936</v>
      </c>
      <c r="J22" s="19" t="s">
        <v>86</v>
      </c>
      <c r="K22" s="4" t="s">
        <v>1037</v>
      </c>
      <c r="L22" s="10" t="s">
        <v>1038</v>
      </c>
      <c r="M22" s="10" t="s">
        <v>1039</v>
      </c>
      <c r="N22" s="10"/>
    </row>
    <row r="23" spans="1:14" ht="79.5" customHeight="1" x14ac:dyDescent="0.3">
      <c r="A23" s="18" t="s">
        <v>1040</v>
      </c>
      <c r="B23" s="18" t="s">
        <v>1041</v>
      </c>
      <c r="C23" s="4" t="s">
        <v>1042</v>
      </c>
      <c r="D23" s="4" t="s">
        <v>1043</v>
      </c>
      <c r="E23" s="4" t="s">
        <v>1044</v>
      </c>
      <c r="F23" s="4" t="s">
        <v>1045</v>
      </c>
      <c r="G23" s="10" t="s">
        <v>1046</v>
      </c>
      <c r="H23" s="18" t="s">
        <v>90</v>
      </c>
      <c r="I23" s="18" t="s">
        <v>964</v>
      </c>
      <c r="J23" s="19" t="s">
        <v>930</v>
      </c>
      <c r="K23" s="4" t="s">
        <v>1047</v>
      </c>
      <c r="L23" s="10" t="s">
        <v>1048</v>
      </c>
      <c r="M23" s="10" t="s">
        <v>1039</v>
      </c>
      <c r="N23" s="10"/>
    </row>
    <row r="24" spans="1:14" ht="79.5" customHeight="1" x14ac:dyDescent="0.3">
      <c r="A24" s="18" t="s">
        <v>1049</v>
      </c>
      <c r="B24" s="18" t="s">
        <v>1031</v>
      </c>
      <c r="C24" s="4" t="s">
        <v>1050</v>
      </c>
      <c r="D24" s="4" t="s">
        <v>1051</v>
      </c>
      <c r="E24" s="4" t="s">
        <v>1052</v>
      </c>
      <c r="F24" s="4" t="s">
        <v>1053</v>
      </c>
      <c r="G24" s="10" t="s">
        <v>1054</v>
      </c>
      <c r="H24" s="18" t="s">
        <v>90</v>
      </c>
      <c r="I24" s="18" t="s">
        <v>964</v>
      </c>
      <c r="J24" s="19" t="s">
        <v>86</v>
      </c>
      <c r="K24" s="4" t="s">
        <v>1055</v>
      </c>
      <c r="L24" s="10" t="s">
        <v>1056</v>
      </c>
      <c r="M24" s="10" t="s">
        <v>1039</v>
      </c>
      <c r="N24" s="10"/>
    </row>
    <row r="25" spans="1:14" ht="79.5" customHeight="1" x14ac:dyDescent="0.3">
      <c r="A25" s="18" t="s">
        <v>1057</v>
      </c>
      <c r="B25" s="18" t="s">
        <v>1031</v>
      </c>
      <c r="C25" s="4" t="s">
        <v>1058</v>
      </c>
      <c r="D25" s="4" t="s">
        <v>1059</v>
      </c>
      <c r="E25" s="4" t="s">
        <v>1060</v>
      </c>
      <c r="F25" s="4" t="s">
        <v>1061</v>
      </c>
      <c r="G25" s="10" t="s">
        <v>1062</v>
      </c>
      <c r="H25" s="18" t="s">
        <v>91</v>
      </c>
      <c r="I25" s="18" t="s">
        <v>964</v>
      </c>
      <c r="J25" s="19" t="s">
        <v>86</v>
      </c>
      <c r="K25" s="4" t="s">
        <v>1063</v>
      </c>
      <c r="L25" s="10" t="s">
        <v>1064</v>
      </c>
      <c r="M25" s="10" t="s">
        <v>1039</v>
      </c>
      <c r="N25" s="10"/>
    </row>
    <row r="26" spans="1:14" ht="55.5" customHeight="1" x14ac:dyDescent="0.3">
      <c r="A26" s="18" t="s">
        <v>1065</v>
      </c>
      <c r="B26" s="18" t="s">
        <v>456</v>
      </c>
      <c r="C26" s="4" t="s">
        <v>76</v>
      </c>
      <c r="D26" s="4" t="s">
        <v>1066</v>
      </c>
      <c r="E26" s="4" t="s">
        <v>1067</v>
      </c>
      <c r="F26" s="4" t="s">
        <v>1068</v>
      </c>
      <c r="G26" s="10" t="s">
        <v>1069</v>
      </c>
      <c r="H26" s="18" t="s">
        <v>90</v>
      </c>
      <c r="I26" s="18" t="s">
        <v>936</v>
      </c>
      <c r="J26" s="19" t="s">
        <v>86</v>
      </c>
      <c r="K26" s="4" t="s">
        <v>1070</v>
      </c>
      <c r="L26" s="10" t="s">
        <v>1071</v>
      </c>
      <c r="M26" s="10" t="s">
        <v>896</v>
      </c>
      <c r="N26" s="10"/>
    </row>
    <row r="27" spans="1:14" ht="81.75" customHeight="1" x14ac:dyDescent="0.3">
      <c r="A27" s="18" t="s">
        <v>1072</v>
      </c>
      <c r="B27" s="18" t="s">
        <v>1073</v>
      </c>
      <c r="C27" s="4" t="s">
        <v>76</v>
      </c>
      <c r="D27" s="4" t="s">
        <v>1074</v>
      </c>
      <c r="E27" s="4" t="s">
        <v>1075</v>
      </c>
      <c r="F27" s="4" t="s">
        <v>1076</v>
      </c>
      <c r="G27" s="10" t="s">
        <v>1077</v>
      </c>
      <c r="H27" s="18" t="s">
        <v>90</v>
      </c>
      <c r="I27" s="18" t="s">
        <v>964</v>
      </c>
      <c r="J27" s="19" t="s">
        <v>86</v>
      </c>
      <c r="K27" s="4" t="s">
        <v>1078</v>
      </c>
      <c r="L27" s="10" t="s">
        <v>1079</v>
      </c>
      <c r="M27" s="10" t="s">
        <v>896</v>
      </c>
      <c r="N27" s="10"/>
    </row>
    <row r="28" spans="1:14" ht="81.75" customHeight="1" x14ac:dyDescent="0.3">
      <c r="A28" s="18" t="s">
        <v>1080</v>
      </c>
      <c r="B28" s="18" t="s">
        <v>642</v>
      </c>
      <c r="C28" s="4" t="s">
        <v>1042</v>
      </c>
      <c r="D28" s="4" t="s">
        <v>1081</v>
      </c>
      <c r="E28" s="4" t="s">
        <v>1082</v>
      </c>
      <c r="F28" s="4" t="s">
        <v>1083</v>
      </c>
      <c r="G28" s="10" t="s">
        <v>1084</v>
      </c>
      <c r="H28" s="18" t="s">
        <v>90</v>
      </c>
      <c r="I28" s="18" t="s">
        <v>964</v>
      </c>
      <c r="J28" s="19" t="s">
        <v>86</v>
      </c>
      <c r="K28" s="4" t="s">
        <v>1085</v>
      </c>
      <c r="L28" s="10" t="s">
        <v>1086</v>
      </c>
      <c r="M28" s="10" t="s">
        <v>896</v>
      </c>
      <c r="N28" s="10"/>
    </row>
  </sheetData>
  <autoFilter ref="A1:N28" xr:uid="{00000000-0009-0000-0000-00000E000000}"/>
  <dataValidations count="3">
    <dataValidation type="list" allowBlank="1" sqref="H2:H500" xr:uid="{00000000-0002-0000-0E00-000000000000}">
      <formula1>"Critical,Major,Minor,Trivial"</formula1>
      <formula2>0</formula2>
    </dataValidation>
    <dataValidation type="list" allowBlank="1" sqref="I2:I500" xr:uid="{00000000-0002-0000-0E00-000001000000}">
      <formula1>"High,Medium,Low"</formula1>
      <formula2>0</formula2>
    </dataValidation>
    <dataValidation type="list" allowBlank="1" sqref="J2:J500" xr:uid="{00000000-0002-0000-0E00-000002000000}">
      <formula1>"Nghi vấn - cần xác minh,Đã xác nhận,Đã sửa,Không phải lỗi,Đóng"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Huong_Dan</vt:lpstr>
      <vt:lpstr>Test_Plan</vt:lpstr>
      <vt:lpstr>Tong_Hop</vt:lpstr>
      <vt:lpstr>TC_DangKy</vt:lpstr>
      <vt:lpstr>TC_DangNhap</vt:lpstr>
      <vt:lpstr>TC_LocSapXep</vt:lpstr>
      <vt:lpstr>TC_ChiTiet</vt:lpstr>
      <vt:lpstr>TC_GioHang</vt:lpstr>
      <vt:lpstr>TC_Wishlist</vt:lpstr>
      <vt:lpstr>TC_MaGiamGia</vt:lpstr>
      <vt:lpstr>TC_Checkout</vt:lpstr>
      <vt:lpstr>TC_Admin</vt:lpstr>
      <vt:lpstr>TC_GiaoDien</vt:lpstr>
      <vt:lpstr>TC_API</vt: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Truong Thanh</cp:lastModifiedBy>
  <cp:revision>0</cp:revision>
  <dcterms:created xsi:type="dcterms:W3CDTF">2026-10-21T05:13:49Z</dcterms:created>
  <dcterms:modified xsi:type="dcterms:W3CDTF">2026-10-28T07:27:00Z</dcterms:modified>
  <dc:language>en-US</dc:language>
</cp:coreProperties>
</file>